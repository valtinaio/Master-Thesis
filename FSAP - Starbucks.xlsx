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defaultThemeVersion="124226"/>
  <mc:AlternateContent xmlns:mc="http://schemas.openxmlformats.org/markup-compatibility/2006">
    <mc:Choice Requires="x15">
      <x15ac:absPath xmlns:x15ac="http://schemas.microsoft.com/office/spreadsheetml/2010/11/ac" url="D:\ESCP\Lectures\Spring 2021\RX20 - Accounting for Investment Banking\"/>
    </mc:Choice>
  </mc:AlternateContent>
  <xr:revisionPtr revIDLastSave="0" documentId="13_ncr:1_{6272D9C7-57DD-45DA-93F2-80E89441B557}" xr6:coauthVersionLast="46" xr6:coauthVersionMax="46" xr10:uidLastSave="{00000000-0000-0000-0000-000000000000}"/>
  <bookViews>
    <workbookView xWindow="-120" yWindow="-120" windowWidth="29040" windowHeight="15840" activeTab="4" xr2:uid="{00000000-000D-0000-FFFF-FFFF00000000}"/>
  </bookViews>
  <sheets>
    <sheet name="Data" sheetId="1" r:id="rId1"/>
    <sheet name="Analysis" sheetId="2" r:id="rId2"/>
    <sheet name="Forecasts" sheetId="3" r:id="rId3"/>
    <sheet name="Forecast Development" sheetId="5" r:id="rId4"/>
    <sheet name="Valuation" sheetId="4" r:id="rId5"/>
  </sheets>
  <definedNames>
    <definedName name="Pal_Workbook_GUID" hidden="1">"CXTP1C6XTK66SIZVYWILZKMR"</definedName>
    <definedName name="_xlnm.Print_Area" localSheetId="1">Analysis!$A$1:$H$390</definedName>
    <definedName name="_xlnm.Print_Area" localSheetId="0">Data!$A$1:$G$156</definedName>
    <definedName name="_xlnm.Print_Area" localSheetId="3">'Forecast Development'!$A$1:$I$241</definedName>
    <definedName name="_xlnm.Print_Area" localSheetId="2">Forecasts!$A$1:$J$372</definedName>
    <definedName name="_xlnm.Print_Area" localSheetId="4">Valuation!$A$1:$J$272</definedName>
  </definedNames>
  <calcPr calcId="191029"/>
</workbook>
</file>

<file path=xl/calcChain.xml><?xml version="1.0" encoding="utf-8"?>
<calcChain xmlns="http://schemas.openxmlformats.org/spreadsheetml/2006/main">
  <c r="F36" i="4" l="1"/>
  <c r="U89" i="4" l="1"/>
  <c r="F263" i="3" l="1"/>
  <c r="G263" i="3" s="1"/>
  <c r="H263" i="3" s="1"/>
  <c r="I263" i="3" s="1"/>
  <c r="F41" i="3"/>
  <c r="G41" i="3" s="1"/>
  <c r="H41" i="3" s="1"/>
  <c r="I41" i="3" s="1"/>
  <c r="B76" i="5"/>
  <c r="C66" i="5"/>
  <c r="C75" i="5" s="1"/>
  <c r="D66" i="5"/>
  <c r="D75" i="5" s="1"/>
  <c r="E66" i="5"/>
  <c r="E75" i="5" s="1"/>
  <c r="F66" i="5"/>
  <c r="F75" i="5" s="1"/>
  <c r="G66" i="5"/>
  <c r="G75" i="5" s="1"/>
  <c r="H66" i="5"/>
  <c r="H75" i="5" s="1"/>
  <c r="I66" i="5"/>
  <c r="I75" i="5" s="1"/>
  <c r="B66" i="5"/>
  <c r="B75" i="5" s="1"/>
  <c r="B67" i="5"/>
  <c r="B70" i="5" s="1"/>
  <c r="B72" i="5" s="1"/>
  <c r="B39" i="5" s="1"/>
  <c r="C67" i="5"/>
  <c r="B68" i="5"/>
  <c r="C68" i="5"/>
  <c r="B69" i="5"/>
  <c r="C69" i="5"/>
  <c r="D69" i="5"/>
  <c r="D68" i="5"/>
  <c r="D67" i="5"/>
  <c r="D70" i="5" s="1"/>
  <c r="D72" i="5" s="1"/>
  <c r="D39" i="5" s="1"/>
  <c r="B57" i="5"/>
  <c r="C57" i="5"/>
  <c r="B58" i="5"/>
  <c r="C58" i="5"/>
  <c r="B59" i="5"/>
  <c r="C59" i="5"/>
  <c r="D59" i="5"/>
  <c r="D58" i="5"/>
  <c r="D57" i="5"/>
  <c r="B78" i="5"/>
  <c r="B46" i="5" s="1"/>
  <c r="E77" i="5"/>
  <c r="E71" i="5"/>
  <c r="E62" i="5"/>
  <c r="F271" i="5"/>
  <c r="G271" i="5" s="1"/>
  <c r="H271" i="5" s="1"/>
  <c r="I271" i="5" s="1"/>
  <c r="B268" i="5"/>
  <c r="C268" i="5"/>
  <c r="D268" i="5"/>
  <c r="C264" i="5"/>
  <c r="C274" i="5" s="1"/>
  <c r="D264" i="5"/>
  <c r="D274" i="5" s="1"/>
  <c r="B264" i="5"/>
  <c r="B274" i="5" s="1"/>
  <c r="D269" i="5" l="1"/>
  <c r="D270" i="5" s="1"/>
  <c r="E270" i="5" s="1"/>
  <c r="F270" i="5" s="1"/>
  <c r="G270" i="5" s="1"/>
  <c r="H270" i="5" s="1"/>
  <c r="I270" i="5" s="1"/>
  <c r="C70" i="5"/>
  <c r="C72" i="5" s="1"/>
  <c r="C39" i="5" s="1"/>
  <c r="D40" i="5" s="1"/>
  <c r="C269" i="5"/>
  <c r="C270" i="5" s="1"/>
  <c r="B255" i="5"/>
  <c r="C248" i="5" s="1"/>
  <c r="E248" i="5" s="1"/>
  <c r="C41" i="5"/>
  <c r="D41" i="5"/>
  <c r="C34" i="5"/>
  <c r="D34" i="5"/>
  <c r="B34" i="5"/>
  <c r="C255" i="5" l="1"/>
  <c r="C253" i="5"/>
  <c r="E253" i="5" s="1"/>
  <c r="C251" i="5"/>
  <c r="E251" i="5" s="1"/>
  <c r="C249" i="5"/>
  <c r="E249" i="5" s="1"/>
  <c r="C254" i="5"/>
  <c r="E254" i="5" s="1"/>
  <c r="C252" i="5"/>
  <c r="E252" i="5" s="1"/>
  <c r="C250" i="5"/>
  <c r="B145" i="1"/>
  <c r="C145" i="1"/>
  <c r="B98" i="2" s="1"/>
  <c r="D145" i="1"/>
  <c r="C97" i="2" s="1"/>
  <c r="E145" i="1"/>
  <c r="D98" i="2" s="1"/>
  <c r="F145" i="1"/>
  <c r="E98" i="2" s="1"/>
  <c r="G145" i="1"/>
  <c r="F96" i="2" s="1"/>
  <c r="B97" i="2" l="1"/>
  <c r="E96" i="2"/>
  <c r="F97" i="2"/>
  <c r="E250" i="5"/>
  <c r="E255" i="5" s="1"/>
  <c r="E257" i="5" s="1"/>
  <c r="E63" i="3" s="1"/>
  <c r="D96" i="2"/>
  <c r="E97" i="2"/>
  <c r="F98" i="2"/>
  <c r="D97" i="2"/>
  <c r="C98" i="2"/>
  <c r="F161" i="3"/>
  <c r="G161" i="3" s="1"/>
  <c r="H161" i="3" s="1"/>
  <c r="I161" i="3" s="1"/>
  <c r="F158" i="3"/>
  <c r="G158" i="3" s="1"/>
  <c r="H158" i="3" s="1"/>
  <c r="I158" i="3" s="1"/>
  <c r="C176" i="5"/>
  <c r="D176" i="5"/>
  <c r="D76" i="5" s="1"/>
  <c r="D78" i="5" s="1"/>
  <c r="D46" i="5" s="1"/>
  <c r="C153" i="5"/>
  <c r="C154" i="5" s="1"/>
  <c r="C148" i="5"/>
  <c r="C149" i="5" s="1"/>
  <c r="D148" i="5"/>
  <c r="E148" i="5" s="1"/>
  <c r="D129" i="5"/>
  <c r="D124" i="5"/>
  <c r="E124" i="5" s="1"/>
  <c r="C129" i="5"/>
  <c r="C130" i="5" s="1"/>
  <c r="C124" i="5"/>
  <c r="C125" i="5" s="1"/>
  <c r="C106" i="5"/>
  <c r="C107" i="5" s="1"/>
  <c r="D106" i="5"/>
  <c r="D101" i="5"/>
  <c r="E101" i="5" s="1"/>
  <c r="C101" i="5"/>
  <c r="C102" i="5" s="1"/>
  <c r="B41" i="5"/>
  <c r="D170" i="5"/>
  <c r="C170" i="5"/>
  <c r="C60" i="5" s="1"/>
  <c r="C61" i="5" s="1"/>
  <c r="C63" i="5" s="1"/>
  <c r="C32" i="5" s="1"/>
  <c r="B170" i="5"/>
  <c r="E167" i="5"/>
  <c r="F167" i="5" s="1"/>
  <c r="G167" i="5" s="1"/>
  <c r="H167" i="5" s="1"/>
  <c r="I167" i="5" s="1"/>
  <c r="E166" i="5"/>
  <c r="C168" i="5"/>
  <c r="B168" i="5"/>
  <c r="I163" i="5"/>
  <c r="H163" i="5"/>
  <c r="G163" i="5"/>
  <c r="F163" i="5"/>
  <c r="E163" i="5"/>
  <c r="D163" i="5"/>
  <c r="C163" i="5"/>
  <c r="B163" i="5"/>
  <c r="C35" i="5" l="1"/>
  <c r="B180" i="5"/>
  <c r="B184" i="5" s="1"/>
  <c r="B60" i="5"/>
  <c r="B61" i="5" s="1"/>
  <c r="B63" i="5" s="1"/>
  <c r="E170" i="5"/>
  <c r="E60" i="5" s="1"/>
  <c r="D60" i="5"/>
  <c r="D61" i="5" s="1"/>
  <c r="D63" i="5" s="1"/>
  <c r="C177" i="5"/>
  <c r="C76" i="5"/>
  <c r="C78" i="5" s="1"/>
  <c r="C46" i="5" s="1"/>
  <c r="C50" i="5" s="1"/>
  <c r="C180" i="5"/>
  <c r="C184" i="5" s="1"/>
  <c r="D177" i="5"/>
  <c r="D149" i="5"/>
  <c r="D130" i="5"/>
  <c r="D180" i="5"/>
  <c r="D184" i="5" s="1"/>
  <c r="D102" i="5"/>
  <c r="D125" i="5"/>
  <c r="D107" i="5"/>
  <c r="F166" i="5"/>
  <c r="E168" i="5"/>
  <c r="D168" i="5"/>
  <c r="F170" i="5" l="1"/>
  <c r="F60" i="5" s="1"/>
  <c r="C81" i="5"/>
  <c r="D81" i="5"/>
  <c r="D32" i="5"/>
  <c r="B81" i="5"/>
  <c r="B32" i="5"/>
  <c r="B50" i="5" s="1"/>
  <c r="G170" i="5"/>
  <c r="G60" i="5" s="1"/>
  <c r="G166" i="5"/>
  <c r="F168" i="5"/>
  <c r="D50" i="5" l="1"/>
  <c r="D35" i="5"/>
  <c r="H170" i="5"/>
  <c r="H60" i="5" s="1"/>
  <c r="G168" i="5"/>
  <c r="H166" i="5"/>
  <c r="I170" i="5" l="1"/>
  <c r="I60" i="5" s="1"/>
  <c r="I166" i="5"/>
  <c r="I168" i="5" s="1"/>
  <c r="H168" i="5"/>
  <c r="B24" i="5" l="1"/>
  <c r="C24" i="5"/>
  <c r="D24" i="5"/>
  <c r="B23" i="5"/>
  <c r="C23" i="5"/>
  <c r="D23" i="5"/>
  <c r="B22" i="5"/>
  <c r="C22" i="5"/>
  <c r="D22" i="5"/>
  <c r="F146" i="3" l="1"/>
  <c r="G146" i="3" s="1"/>
  <c r="H146" i="3" s="1"/>
  <c r="I146" i="3" s="1"/>
  <c r="B189" i="3"/>
  <c r="C189" i="3"/>
  <c r="C291" i="3" s="1"/>
  <c r="D189" i="3"/>
  <c r="B186" i="3"/>
  <c r="C186" i="3"/>
  <c r="D186" i="3"/>
  <c r="A189" i="3"/>
  <c r="A186" i="3"/>
  <c r="B142" i="3"/>
  <c r="C142" i="3"/>
  <c r="C144" i="3" s="1"/>
  <c r="B145" i="3"/>
  <c r="C145" i="3"/>
  <c r="B148" i="3"/>
  <c r="C148" i="3"/>
  <c r="B151" i="3"/>
  <c r="C151" i="3"/>
  <c r="B154" i="3"/>
  <c r="C154" i="3"/>
  <c r="B160" i="3"/>
  <c r="C160" i="3"/>
  <c r="D154" i="3"/>
  <c r="D151" i="3"/>
  <c r="D148" i="3"/>
  <c r="D145" i="3"/>
  <c r="D142" i="3"/>
  <c r="A163" i="3"/>
  <c r="A160" i="3"/>
  <c r="A157" i="3"/>
  <c r="A154" i="3"/>
  <c r="A151" i="3"/>
  <c r="B153" i="3" s="1"/>
  <c r="A148" i="3"/>
  <c r="B150" i="3" s="1"/>
  <c r="A145" i="3"/>
  <c r="A142" i="3"/>
  <c r="B144" i="3" s="1"/>
  <c r="C345" i="2"/>
  <c r="D345" i="2"/>
  <c r="B175" i="2"/>
  <c r="C175" i="2"/>
  <c r="D175" i="2"/>
  <c r="E175" i="2"/>
  <c r="F175" i="2"/>
  <c r="G175" i="2"/>
  <c r="A272" i="2"/>
  <c r="B272" i="2"/>
  <c r="C272" i="2"/>
  <c r="D272" i="2"/>
  <c r="E272" i="2"/>
  <c r="F272" i="2"/>
  <c r="G272" i="2"/>
  <c r="A273" i="2"/>
  <c r="B273" i="2"/>
  <c r="C273" i="2"/>
  <c r="D273" i="2"/>
  <c r="E273" i="2"/>
  <c r="F273" i="2"/>
  <c r="G273" i="2"/>
  <c r="A274" i="2"/>
  <c r="B274" i="2"/>
  <c r="C274" i="2"/>
  <c r="D274" i="2"/>
  <c r="E274" i="2"/>
  <c r="F274" i="2"/>
  <c r="G274" i="2"/>
  <c r="A275" i="2"/>
  <c r="B275" i="2"/>
  <c r="C275" i="2"/>
  <c r="D275" i="2"/>
  <c r="E275" i="2"/>
  <c r="F275" i="2"/>
  <c r="G275" i="2"/>
  <c r="A276" i="2"/>
  <c r="B276" i="2"/>
  <c r="C276" i="2"/>
  <c r="D276" i="2"/>
  <c r="E276" i="2"/>
  <c r="F276" i="2"/>
  <c r="G276" i="2"/>
  <c r="A277" i="2"/>
  <c r="B277" i="2"/>
  <c r="C277" i="2"/>
  <c r="D277" i="2"/>
  <c r="E277" i="2"/>
  <c r="F277" i="2"/>
  <c r="G277" i="2"/>
  <c r="A278" i="2"/>
  <c r="B278" i="2"/>
  <c r="C278" i="2"/>
  <c r="D278" i="2"/>
  <c r="E278" i="2"/>
  <c r="F278" i="2"/>
  <c r="G278" i="2"/>
  <c r="A261" i="2"/>
  <c r="B261" i="2"/>
  <c r="C261" i="2"/>
  <c r="D261" i="2"/>
  <c r="E261" i="2"/>
  <c r="F261" i="2"/>
  <c r="G261" i="2"/>
  <c r="A262" i="2"/>
  <c r="B262" i="2"/>
  <c r="C262" i="2"/>
  <c r="D262" i="2"/>
  <c r="E262" i="2"/>
  <c r="F262" i="2"/>
  <c r="G262" i="2"/>
  <c r="A263" i="2"/>
  <c r="B263" i="2"/>
  <c r="C263" i="2"/>
  <c r="D263" i="2"/>
  <c r="E263" i="2"/>
  <c r="F263" i="2"/>
  <c r="G263" i="2"/>
  <c r="A264" i="2"/>
  <c r="B264" i="2"/>
  <c r="C264" i="2"/>
  <c r="D264" i="2"/>
  <c r="E264" i="2"/>
  <c r="F264" i="2"/>
  <c r="G264" i="2"/>
  <c r="A265" i="2"/>
  <c r="B265" i="2"/>
  <c r="C265" i="2"/>
  <c r="A266" i="2"/>
  <c r="B266" i="2"/>
  <c r="C266" i="2"/>
  <c r="D266" i="2"/>
  <c r="E266" i="2"/>
  <c r="A267" i="2"/>
  <c r="B267" i="2"/>
  <c r="C267" i="2"/>
  <c r="G260" i="2"/>
  <c r="C260" i="2"/>
  <c r="D260" i="2"/>
  <c r="E260" i="2"/>
  <c r="F260" i="2"/>
  <c r="B260" i="2"/>
  <c r="A260" i="2"/>
  <c r="A220" i="2"/>
  <c r="A221" i="2"/>
  <c r="A222" i="2"/>
  <c r="A223" i="2"/>
  <c r="A224" i="2"/>
  <c r="A225" i="2"/>
  <c r="A226" i="2"/>
  <c r="A209" i="2"/>
  <c r="A210" i="2"/>
  <c r="A211" i="2"/>
  <c r="A212" i="2"/>
  <c r="A213" i="2"/>
  <c r="A214" i="2"/>
  <c r="A215" i="2"/>
  <c r="A208" i="2"/>
  <c r="B130" i="1"/>
  <c r="B127" i="1"/>
  <c r="B132" i="1" s="1"/>
  <c r="B116" i="1"/>
  <c r="B115" i="1"/>
  <c r="B112" i="1"/>
  <c r="B111" i="1"/>
  <c r="B99" i="1"/>
  <c r="C130" i="1"/>
  <c r="C127" i="1"/>
  <c r="C116" i="1"/>
  <c r="C115" i="1"/>
  <c r="C111" i="1"/>
  <c r="D127" i="1"/>
  <c r="D116" i="1"/>
  <c r="C375" i="2" s="1"/>
  <c r="D115" i="1"/>
  <c r="D101" i="1"/>
  <c r="C370" i="2"/>
  <c r="E124" i="1"/>
  <c r="E116" i="1"/>
  <c r="D375" i="2" s="1"/>
  <c r="F116" i="1"/>
  <c r="G124" i="1"/>
  <c r="G116" i="1"/>
  <c r="F375" i="2" s="1"/>
  <c r="F30" i="1"/>
  <c r="F32" i="1"/>
  <c r="G31" i="1"/>
  <c r="D160" i="3" s="1"/>
  <c r="E160" i="3" s="1"/>
  <c r="G30" i="1"/>
  <c r="G33" i="1" s="1"/>
  <c r="E30" i="1"/>
  <c r="D32" i="1"/>
  <c r="E32" i="1"/>
  <c r="B163" i="3" s="1"/>
  <c r="G32" i="1"/>
  <c r="D163" i="3" s="1"/>
  <c r="E163" i="3" s="1"/>
  <c r="B150" i="1"/>
  <c r="C150" i="1"/>
  <c r="D150" i="1"/>
  <c r="C120" i="2"/>
  <c r="E150" i="1"/>
  <c r="F150" i="1"/>
  <c r="E120" i="2" s="1"/>
  <c r="B144" i="1"/>
  <c r="C144" i="1"/>
  <c r="D144" i="1"/>
  <c r="C121" i="2" s="1"/>
  <c r="E144" i="1"/>
  <c r="F144" i="1"/>
  <c r="E111" i="1"/>
  <c r="F111" i="1"/>
  <c r="G111" i="1"/>
  <c r="E101" i="1"/>
  <c r="F101" i="1"/>
  <c r="G101" i="1"/>
  <c r="G127" i="1"/>
  <c r="F382" i="2" s="1"/>
  <c r="F127" i="1"/>
  <c r="E127" i="1"/>
  <c r="D382" i="2" s="1"/>
  <c r="G130" i="1"/>
  <c r="F384" i="2" s="1"/>
  <c r="E130" i="1"/>
  <c r="G120" i="1"/>
  <c r="F120" i="1"/>
  <c r="E120" i="1"/>
  <c r="F147" i="1"/>
  <c r="E147" i="1"/>
  <c r="E149" i="1" s="1"/>
  <c r="D147" i="1"/>
  <c r="D149" i="1" s="1"/>
  <c r="C147" i="1"/>
  <c r="B147" i="1"/>
  <c r="B149" i="1" s="1"/>
  <c r="G91" i="1"/>
  <c r="G80" i="1"/>
  <c r="D68" i="3" s="1"/>
  <c r="G144" i="1"/>
  <c r="F121" i="2" s="1"/>
  <c r="F91" i="1"/>
  <c r="E91" i="1"/>
  <c r="F154" i="5"/>
  <c r="G154" i="5"/>
  <c r="H154" i="5"/>
  <c r="I154" i="5"/>
  <c r="E154" i="5"/>
  <c r="F107" i="5"/>
  <c r="G107" i="5"/>
  <c r="H107" i="5"/>
  <c r="I107" i="5"/>
  <c r="E107" i="5"/>
  <c r="E106" i="5" s="1"/>
  <c r="F219" i="3"/>
  <c r="F187" i="3"/>
  <c r="G187" i="3" s="1"/>
  <c r="H187" i="3" s="1"/>
  <c r="I187" i="3" s="1"/>
  <c r="F116" i="3"/>
  <c r="G116" i="3" s="1"/>
  <c r="H116" i="3" s="1"/>
  <c r="I116" i="3" s="1"/>
  <c r="C25" i="5"/>
  <c r="D25" i="5"/>
  <c r="E176" i="5"/>
  <c r="E76" i="5" s="1"/>
  <c r="E78" i="5" s="1"/>
  <c r="E46" i="5" s="1"/>
  <c r="D153" i="5"/>
  <c r="D154" i="5" s="1"/>
  <c r="E129" i="5"/>
  <c r="F129" i="5" s="1"/>
  <c r="G129" i="5" s="1"/>
  <c r="F124" i="5"/>
  <c r="I92" i="5"/>
  <c r="H92" i="5"/>
  <c r="G92" i="5"/>
  <c r="F92" i="5"/>
  <c r="E92" i="5"/>
  <c r="D92" i="5"/>
  <c r="C92" i="5"/>
  <c r="B92" i="5"/>
  <c r="D120" i="5"/>
  <c r="C120" i="5"/>
  <c r="B120" i="5"/>
  <c r="I115" i="5"/>
  <c r="H115" i="5"/>
  <c r="G115" i="5"/>
  <c r="F115" i="5"/>
  <c r="E115" i="5"/>
  <c r="D115" i="5"/>
  <c r="C115" i="5"/>
  <c r="B115" i="5"/>
  <c r="I139" i="5"/>
  <c r="H139" i="5"/>
  <c r="G139" i="5"/>
  <c r="F139" i="5"/>
  <c r="E139" i="5"/>
  <c r="D139" i="5"/>
  <c r="C139" i="5"/>
  <c r="B139" i="5"/>
  <c r="B144" i="5"/>
  <c r="C144" i="5"/>
  <c r="D144" i="5"/>
  <c r="E143" i="5"/>
  <c r="F143" i="5" s="1"/>
  <c r="E142" i="5"/>
  <c r="E147" i="5" s="1"/>
  <c r="E59" i="5" s="1"/>
  <c r="E119" i="5"/>
  <c r="F119" i="5" s="1"/>
  <c r="G119" i="5" s="1"/>
  <c r="H119" i="5" s="1"/>
  <c r="I119" i="5" s="1"/>
  <c r="E118" i="5"/>
  <c r="E123" i="5" s="1"/>
  <c r="E58" i="5" s="1"/>
  <c r="B97" i="5"/>
  <c r="C97" i="5"/>
  <c r="D97" i="5"/>
  <c r="E96" i="5"/>
  <c r="E95" i="5"/>
  <c r="D47" i="5"/>
  <c r="C47" i="5"/>
  <c r="D42" i="5"/>
  <c r="C42" i="5"/>
  <c r="C43" i="5" s="1"/>
  <c r="C40" i="5"/>
  <c r="C36" i="5"/>
  <c r="D33" i="5"/>
  <c r="C33" i="5"/>
  <c r="B25" i="5"/>
  <c r="F205" i="3"/>
  <c r="G205" i="3" s="1"/>
  <c r="H205" i="3" s="1"/>
  <c r="I205" i="3" s="1"/>
  <c r="B370" i="2"/>
  <c r="D263" i="3"/>
  <c r="F88" i="3"/>
  <c r="A90" i="3"/>
  <c r="C87" i="3"/>
  <c r="D87" i="3"/>
  <c r="B87" i="3"/>
  <c r="A87" i="3"/>
  <c r="A240" i="3"/>
  <c r="B237" i="3"/>
  <c r="C237" i="3"/>
  <c r="C313" i="3" s="1"/>
  <c r="D237" i="3"/>
  <c r="A237" i="3"/>
  <c r="F180" i="3"/>
  <c r="F119" i="3"/>
  <c r="F53" i="3"/>
  <c r="G53" i="3" s="1"/>
  <c r="H53" i="3" s="1"/>
  <c r="I53" i="3" s="1"/>
  <c r="A2" i="4"/>
  <c r="A1" i="4"/>
  <c r="A2" i="5"/>
  <c r="A1" i="5"/>
  <c r="A2" i="3"/>
  <c r="A1" i="3"/>
  <c r="A2" i="2"/>
  <c r="A1" i="2"/>
  <c r="B341" i="2"/>
  <c r="C341" i="2"/>
  <c r="D341" i="2"/>
  <c r="A252" i="2"/>
  <c r="B252" i="2"/>
  <c r="C252" i="2"/>
  <c r="D252" i="2"/>
  <c r="E252" i="2"/>
  <c r="F252" i="2"/>
  <c r="G252" i="2"/>
  <c r="A253" i="2"/>
  <c r="B253" i="2"/>
  <c r="C253" i="2"/>
  <c r="D253" i="2"/>
  <c r="E253" i="2"/>
  <c r="F253" i="2"/>
  <c r="G253" i="2"/>
  <c r="A254" i="2"/>
  <c r="B254" i="2"/>
  <c r="C254" i="2"/>
  <c r="D254" i="2"/>
  <c r="E254" i="2"/>
  <c r="F254" i="2"/>
  <c r="G254" i="2"/>
  <c r="A255" i="2"/>
  <c r="B255" i="2"/>
  <c r="C255" i="2"/>
  <c r="D255" i="2"/>
  <c r="E255" i="2"/>
  <c r="F255" i="2"/>
  <c r="G255" i="2"/>
  <c r="A256" i="2"/>
  <c r="B256" i="2"/>
  <c r="C256" i="2"/>
  <c r="D256" i="2"/>
  <c r="E256" i="2"/>
  <c r="F256" i="2"/>
  <c r="G256" i="2"/>
  <c r="A257" i="2"/>
  <c r="B257" i="2"/>
  <c r="C257" i="2"/>
  <c r="D257" i="2"/>
  <c r="E257" i="2"/>
  <c r="F257" i="2"/>
  <c r="G257" i="2"/>
  <c r="A258" i="2"/>
  <c r="B258" i="2"/>
  <c r="C258" i="2"/>
  <c r="D258" i="2"/>
  <c r="E258" i="2"/>
  <c r="F258" i="2"/>
  <c r="G258" i="2"/>
  <c r="A259" i="2"/>
  <c r="A268" i="2"/>
  <c r="A270" i="2"/>
  <c r="B270" i="2"/>
  <c r="C270" i="2"/>
  <c r="D270" i="2"/>
  <c r="E270" i="2"/>
  <c r="F270" i="2"/>
  <c r="G270" i="2"/>
  <c r="A271" i="2"/>
  <c r="B271" i="2"/>
  <c r="C271" i="2"/>
  <c r="D271" i="2"/>
  <c r="E271" i="2"/>
  <c r="F271" i="2"/>
  <c r="G271" i="2"/>
  <c r="A279" i="2"/>
  <c r="A280" i="2"/>
  <c r="B280" i="2"/>
  <c r="C280" i="2"/>
  <c r="D280" i="2"/>
  <c r="E280" i="2"/>
  <c r="F280" i="2"/>
  <c r="G280" i="2"/>
  <c r="A281" i="2"/>
  <c r="B281" i="2"/>
  <c r="C281" i="2"/>
  <c r="D281" i="2"/>
  <c r="E281" i="2"/>
  <c r="F281" i="2"/>
  <c r="G281" i="2"/>
  <c r="A282" i="2"/>
  <c r="B282" i="2"/>
  <c r="C282" i="2"/>
  <c r="D282" i="2"/>
  <c r="E282" i="2"/>
  <c r="F282" i="2"/>
  <c r="G282" i="2"/>
  <c r="A283" i="2"/>
  <c r="B283" i="2"/>
  <c r="C283" i="2"/>
  <c r="D283" i="2"/>
  <c r="E283" i="2"/>
  <c r="F283" i="2"/>
  <c r="G283" i="2"/>
  <c r="A284" i="2"/>
  <c r="B284" i="2"/>
  <c r="C284" i="2"/>
  <c r="D284" i="2"/>
  <c r="E284" i="2"/>
  <c r="F284" i="2"/>
  <c r="G284" i="2"/>
  <c r="A285" i="2"/>
  <c r="A287" i="2"/>
  <c r="A288" i="2"/>
  <c r="E288" i="2"/>
  <c r="F288" i="2"/>
  <c r="A289" i="2"/>
  <c r="B289" i="2"/>
  <c r="C289" i="2"/>
  <c r="D289" i="2"/>
  <c r="E289" i="2"/>
  <c r="F289" i="2"/>
  <c r="G289" i="2"/>
  <c r="A290" i="2"/>
  <c r="B290" i="2"/>
  <c r="C290" i="2"/>
  <c r="D290" i="2"/>
  <c r="E290" i="2"/>
  <c r="F290" i="2"/>
  <c r="G290" i="2"/>
  <c r="A291" i="2"/>
  <c r="B291" i="2"/>
  <c r="C291" i="2"/>
  <c r="D291" i="2"/>
  <c r="E291" i="2"/>
  <c r="F291" i="2"/>
  <c r="G291" i="2"/>
  <c r="A292" i="2"/>
  <c r="A293" i="2"/>
  <c r="B293" i="2"/>
  <c r="C293" i="2"/>
  <c r="D293" i="2"/>
  <c r="E293" i="2"/>
  <c r="F293" i="2"/>
  <c r="G293" i="2"/>
  <c r="A294" i="2"/>
  <c r="A295" i="2"/>
  <c r="A200" i="2"/>
  <c r="A201" i="2"/>
  <c r="A202" i="2"/>
  <c r="A203" i="2"/>
  <c r="A204" i="2"/>
  <c r="A205" i="2"/>
  <c r="A206" i="2"/>
  <c r="A207" i="2"/>
  <c r="A216" i="2"/>
  <c r="A218" i="2"/>
  <c r="A219" i="2"/>
  <c r="A227" i="2"/>
  <c r="A228" i="2"/>
  <c r="A229" i="2"/>
  <c r="A230" i="2"/>
  <c r="A231" i="2"/>
  <c r="A232" i="2"/>
  <c r="A233" i="2"/>
  <c r="A235" i="2"/>
  <c r="A236" i="2"/>
  <c r="A237" i="2"/>
  <c r="A238" i="2"/>
  <c r="A239" i="2"/>
  <c r="A240" i="2"/>
  <c r="A241" i="2"/>
  <c r="A242" i="2"/>
  <c r="A243" i="2"/>
  <c r="F131" i="2"/>
  <c r="D310" i="2" s="1"/>
  <c r="F132" i="2"/>
  <c r="D311" i="2" s="1"/>
  <c r="F134" i="2"/>
  <c r="D313" i="2" s="1"/>
  <c r="F135" i="2"/>
  <c r="F136" i="2"/>
  <c r="F137" i="2"/>
  <c r="F138" i="2"/>
  <c r="F139" i="2"/>
  <c r="F140" i="2"/>
  <c r="F141" i="2"/>
  <c r="F143" i="2"/>
  <c r="F144" i="2"/>
  <c r="F145" i="2"/>
  <c r="F148" i="2"/>
  <c r="D316" i="2" s="1"/>
  <c r="F149" i="2"/>
  <c r="F150" i="2"/>
  <c r="F151" i="2"/>
  <c r="F153" i="2"/>
  <c r="C131" i="2"/>
  <c r="D131" i="2"/>
  <c r="B310" i="2" s="1"/>
  <c r="E131" i="2"/>
  <c r="C310" i="2" s="1"/>
  <c r="C132" i="2"/>
  <c r="D132" i="2"/>
  <c r="B311" i="2" s="1"/>
  <c r="E132" i="2"/>
  <c r="C311" i="2" s="1"/>
  <c r="C134" i="2"/>
  <c r="D134" i="2"/>
  <c r="B313" i="2" s="1"/>
  <c r="E134" i="2"/>
  <c r="C313" i="2" s="1"/>
  <c r="C135" i="2"/>
  <c r="D135" i="2"/>
  <c r="E135" i="2"/>
  <c r="C136" i="2"/>
  <c r="D136" i="2"/>
  <c r="E136" i="2"/>
  <c r="C137" i="2"/>
  <c r="D137" i="2"/>
  <c r="E137" i="2"/>
  <c r="C138" i="2"/>
  <c r="D138" i="2"/>
  <c r="E138" i="2"/>
  <c r="C139" i="2"/>
  <c r="D139" i="2"/>
  <c r="E139" i="2"/>
  <c r="C140" i="2"/>
  <c r="D140" i="2"/>
  <c r="E140" i="2"/>
  <c r="C141" i="2"/>
  <c r="D141" i="2"/>
  <c r="E141" i="2"/>
  <c r="C143" i="2"/>
  <c r="D143" i="2"/>
  <c r="E143" i="2"/>
  <c r="C144" i="2"/>
  <c r="D144" i="2"/>
  <c r="E144" i="2"/>
  <c r="C145" i="2"/>
  <c r="D145" i="2"/>
  <c r="E145" i="2"/>
  <c r="C146" i="2"/>
  <c r="D146" i="2"/>
  <c r="E146" i="2"/>
  <c r="C148" i="2"/>
  <c r="D148" i="2"/>
  <c r="B316" i="2" s="1"/>
  <c r="E148" i="2"/>
  <c r="C316" i="2" s="1"/>
  <c r="C149" i="2"/>
  <c r="D149" i="2"/>
  <c r="E149" i="2"/>
  <c r="C150" i="2"/>
  <c r="D150" i="2"/>
  <c r="E150" i="2"/>
  <c r="C151" i="2"/>
  <c r="D151" i="2"/>
  <c r="E151" i="2"/>
  <c r="C153" i="2"/>
  <c r="D153" i="2"/>
  <c r="E153" i="2"/>
  <c r="B132" i="2"/>
  <c r="B134" i="2"/>
  <c r="B135" i="2"/>
  <c r="B136" i="2"/>
  <c r="B137" i="2"/>
  <c r="B138" i="2"/>
  <c r="B139" i="2"/>
  <c r="B140" i="2"/>
  <c r="B141" i="2"/>
  <c r="B143" i="2"/>
  <c r="B144" i="2"/>
  <c r="B145" i="2"/>
  <c r="B146" i="2"/>
  <c r="B148" i="2"/>
  <c r="B149" i="2"/>
  <c r="B150" i="2"/>
  <c r="B151" i="2"/>
  <c r="B153" i="2"/>
  <c r="B131" i="2"/>
  <c r="A166" i="2"/>
  <c r="B166" i="2"/>
  <c r="C166" i="2"/>
  <c r="D166" i="2"/>
  <c r="E166" i="2"/>
  <c r="F166" i="2"/>
  <c r="G166" i="2"/>
  <c r="A167" i="2"/>
  <c r="A168" i="2"/>
  <c r="B168" i="2"/>
  <c r="C168" i="2"/>
  <c r="D168" i="2"/>
  <c r="E168" i="2"/>
  <c r="F168" i="2"/>
  <c r="G168" i="2"/>
  <c r="A169" i="2"/>
  <c r="B169" i="2"/>
  <c r="C169" i="2"/>
  <c r="D169" i="2"/>
  <c r="E169" i="2"/>
  <c r="F169" i="2"/>
  <c r="G169" i="2"/>
  <c r="A170" i="2"/>
  <c r="B170" i="2"/>
  <c r="C170" i="2"/>
  <c r="D170" i="2"/>
  <c r="E170" i="2"/>
  <c r="F170" i="2"/>
  <c r="G170" i="2"/>
  <c r="A171" i="2"/>
  <c r="B171" i="2"/>
  <c r="C171" i="2"/>
  <c r="D171" i="2"/>
  <c r="E171" i="2"/>
  <c r="F171" i="2"/>
  <c r="G171" i="2"/>
  <c r="A172" i="2"/>
  <c r="B172" i="2"/>
  <c r="C172" i="2"/>
  <c r="D172" i="2"/>
  <c r="E172" i="2"/>
  <c r="F172" i="2"/>
  <c r="G172" i="2"/>
  <c r="A173" i="2"/>
  <c r="B173" i="2"/>
  <c r="C173" i="2"/>
  <c r="D173" i="2"/>
  <c r="E173" i="2"/>
  <c r="F173" i="2"/>
  <c r="G173" i="2"/>
  <c r="A174" i="2"/>
  <c r="B174" i="2"/>
  <c r="C174" i="2"/>
  <c r="D174" i="2"/>
  <c r="E174" i="2"/>
  <c r="F174" i="2"/>
  <c r="G174" i="2"/>
  <c r="A175" i="2"/>
  <c r="A176" i="2"/>
  <c r="A177" i="2"/>
  <c r="B177" i="2"/>
  <c r="C177" i="2"/>
  <c r="D177" i="2"/>
  <c r="E177" i="2"/>
  <c r="F177" i="2"/>
  <c r="G177" i="2"/>
  <c r="A178" i="2"/>
  <c r="B178" i="2"/>
  <c r="C178" i="2"/>
  <c r="D178" i="2"/>
  <c r="E178" i="2"/>
  <c r="F178" i="2"/>
  <c r="G178" i="2"/>
  <c r="A179" i="2"/>
  <c r="B179" i="2"/>
  <c r="C179" i="2"/>
  <c r="D179" i="2"/>
  <c r="E179" i="2"/>
  <c r="F179" i="2"/>
  <c r="G179" i="2"/>
  <c r="A180" i="2"/>
  <c r="B180" i="2"/>
  <c r="C180" i="2"/>
  <c r="D180" i="2"/>
  <c r="E180" i="2"/>
  <c r="A181" i="2"/>
  <c r="A182" i="2"/>
  <c r="B182" i="2"/>
  <c r="C182" i="2"/>
  <c r="D182" i="2"/>
  <c r="E182" i="2"/>
  <c r="F182" i="2"/>
  <c r="G182" i="2"/>
  <c r="A183" i="2"/>
  <c r="B183" i="2"/>
  <c r="C183" i="2"/>
  <c r="D183" i="2"/>
  <c r="E183" i="2"/>
  <c r="F183" i="2"/>
  <c r="G183" i="2"/>
  <c r="A184" i="2"/>
  <c r="B184" i="2"/>
  <c r="C184" i="2"/>
  <c r="D184" i="2"/>
  <c r="E184" i="2"/>
  <c r="F184" i="2"/>
  <c r="G184" i="2"/>
  <c r="A185" i="2"/>
  <c r="B185" i="2"/>
  <c r="C185" i="2"/>
  <c r="D185" i="2"/>
  <c r="E185" i="2"/>
  <c r="F185" i="2"/>
  <c r="G185" i="2"/>
  <c r="A186" i="2"/>
  <c r="A187" i="2"/>
  <c r="B187" i="2"/>
  <c r="C187" i="2"/>
  <c r="D187" i="2"/>
  <c r="E187" i="2"/>
  <c r="F187" i="2"/>
  <c r="G187" i="2"/>
  <c r="A188" i="2"/>
  <c r="A190" i="2"/>
  <c r="A191" i="2"/>
  <c r="A132" i="2"/>
  <c r="A311" i="2" s="1"/>
  <c r="A133" i="2"/>
  <c r="A312" i="2" s="1"/>
  <c r="A134" i="2"/>
  <c r="A313" i="2" s="1"/>
  <c r="A135" i="2"/>
  <c r="A136" i="2"/>
  <c r="A137" i="2"/>
  <c r="A138" i="2"/>
  <c r="A139" i="2"/>
  <c r="A140" i="2"/>
  <c r="A141" i="2"/>
  <c r="A142" i="2"/>
  <c r="A314" i="2" s="1"/>
  <c r="A143" i="2"/>
  <c r="A144" i="2"/>
  <c r="A145" i="2"/>
  <c r="A146" i="2"/>
  <c r="A147" i="2"/>
  <c r="A315" i="2" s="1"/>
  <c r="A148" i="2"/>
  <c r="A316" i="2" s="1"/>
  <c r="A149" i="2"/>
  <c r="A150" i="2"/>
  <c r="A151" i="2"/>
  <c r="A152" i="2"/>
  <c r="A153" i="2"/>
  <c r="A154" i="2"/>
  <c r="A156" i="2"/>
  <c r="A157" i="2"/>
  <c r="B136" i="1"/>
  <c r="C156" i="2"/>
  <c r="F24" i="4"/>
  <c r="E269" i="4"/>
  <c r="D174" i="3"/>
  <c r="F44" i="1"/>
  <c r="E82" i="2" s="1"/>
  <c r="C365" i="3" s="1"/>
  <c r="E44" i="1"/>
  <c r="D81" i="2" s="1"/>
  <c r="B364" i="3" s="1"/>
  <c r="C135" i="1"/>
  <c r="D135" i="1"/>
  <c r="E135" i="1"/>
  <c r="F135" i="1"/>
  <c r="C136" i="1"/>
  <c r="D136" i="1"/>
  <c r="E136" i="1"/>
  <c r="F136" i="1"/>
  <c r="F381" i="2"/>
  <c r="D218" i="3"/>
  <c r="D140" i="1"/>
  <c r="C140" i="1"/>
  <c r="B140" i="1"/>
  <c r="C382" i="2"/>
  <c r="B382" i="2"/>
  <c r="B380" i="2"/>
  <c r="C380" i="2"/>
  <c r="B375" i="2"/>
  <c r="D95" i="1"/>
  <c r="C95" i="1"/>
  <c r="B95" i="1"/>
  <c r="D67" i="1"/>
  <c r="D76" i="1" s="1"/>
  <c r="C67" i="1"/>
  <c r="B46" i="2" s="1"/>
  <c r="B67" i="1"/>
  <c r="D63" i="1"/>
  <c r="C63" i="1"/>
  <c r="B63" i="1"/>
  <c r="D57" i="1"/>
  <c r="C57" i="1"/>
  <c r="C59" i="1" s="1"/>
  <c r="B104" i="2" s="1"/>
  <c r="B57" i="1"/>
  <c r="B59" i="1" s="1"/>
  <c r="B294" i="2" s="1"/>
  <c r="C44" i="1"/>
  <c r="B44" i="1"/>
  <c r="D24" i="1"/>
  <c r="C24" i="1"/>
  <c r="C259" i="2" s="1"/>
  <c r="B24" i="1"/>
  <c r="F140" i="1"/>
  <c r="E140" i="1"/>
  <c r="F95" i="1"/>
  <c r="E95" i="1"/>
  <c r="F67" i="1"/>
  <c r="E67" i="1"/>
  <c r="F63" i="1"/>
  <c r="E63" i="1"/>
  <c r="F57" i="1"/>
  <c r="E57" i="1"/>
  <c r="F24" i="1"/>
  <c r="E24" i="1"/>
  <c r="G149" i="1"/>
  <c r="F125" i="2" s="1"/>
  <c r="G135" i="1"/>
  <c r="G136" i="1"/>
  <c r="G251" i="2"/>
  <c r="F251" i="2"/>
  <c r="E251" i="2"/>
  <c r="D251" i="2"/>
  <c r="C251" i="2"/>
  <c r="B251" i="2"/>
  <c r="G165" i="2"/>
  <c r="F165" i="2"/>
  <c r="D328" i="3" s="1"/>
  <c r="E165" i="2"/>
  <c r="C328" i="3" s="1"/>
  <c r="D165" i="2"/>
  <c r="B328" i="3" s="1"/>
  <c r="C165" i="2"/>
  <c r="B165" i="2"/>
  <c r="F120" i="2"/>
  <c r="F86" i="2"/>
  <c r="F87" i="2" s="1"/>
  <c r="E86" i="2"/>
  <c r="E87" i="2" s="1"/>
  <c r="D86" i="2"/>
  <c r="D87" i="2" s="1"/>
  <c r="C86" i="2"/>
  <c r="C87" i="2" s="1"/>
  <c r="B86" i="2"/>
  <c r="B87" i="2" s="1"/>
  <c r="F95" i="2"/>
  <c r="D361" i="3" s="1"/>
  <c r="E95" i="2"/>
  <c r="C361" i="3" s="1"/>
  <c r="D95" i="2"/>
  <c r="E312" i="2" s="1"/>
  <c r="C95" i="2"/>
  <c r="B95" i="2"/>
  <c r="F92" i="2"/>
  <c r="F93" i="2" s="1"/>
  <c r="E92" i="2"/>
  <c r="E93" i="2" s="1"/>
  <c r="D92" i="2"/>
  <c r="D93" i="2" s="1"/>
  <c r="C92" i="2"/>
  <c r="C93" i="2" s="1"/>
  <c r="B92" i="2"/>
  <c r="B93" i="2" s="1"/>
  <c r="F90" i="2"/>
  <c r="F91" i="2" s="1"/>
  <c r="E90" i="2"/>
  <c r="F311" i="2" s="1"/>
  <c r="D90" i="2"/>
  <c r="B360" i="3" s="1"/>
  <c r="C90" i="2"/>
  <c r="C91" i="2" s="1"/>
  <c r="B90" i="2"/>
  <c r="B91" i="2" s="1"/>
  <c r="F88" i="2"/>
  <c r="E88" i="2"/>
  <c r="C359" i="3" s="1"/>
  <c r="D88" i="2"/>
  <c r="D89" i="2" s="1"/>
  <c r="C88" i="2"/>
  <c r="C89" i="2" s="1"/>
  <c r="B88" i="2"/>
  <c r="B89" i="2" s="1"/>
  <c r="F56" i="2"/>
  <c r="E56" i="2"/>
  <c r="D56" i="2"/>
  <c r="C56" i="2"/>
  <c r="B56" i="2"/>
  <c r="E255" i="3"/>
  <c r="A19" i="4"/>
  <c r="C19" i="4"/>
  <c r="A20" i="4"/>
  <c r="C20" i="4"/>
  <c r="C63" i="4"/>
  <c r="A64" i="4"/>
  <c r="C64" i="4"/>
  <c r="A65" i="4"/>
  <c r="C65" i="4"/>
  <c r="C90" i="4"/>
  <c r="A91" i="4"/>
  <c r="C91" i="4"/>
  <c r="A92" i="4"/>
  <c r="C92" i="4"/>
  <c r="E101" i="4"/>
  <c r="F101" i="4"/>
  <c r="G101" i="4"/>
  <c r="H101" i="4"/>
  <c r="I101" i="4"/>
  <c r="J101" i="4"/>
  <c r="C120" i="4"/>
  <c r="A121" i="4"/>
  <c r="C121" i="4"/>
  <c r="A122" i="4"/>
  <c r="C122" i="4"/>
  <c r="C146" i="4"/>
  <c r="A147" i="4"/>
  <c r="C147" i="4"/>
  <c r="A148" i="4"/>
  <c r="C148" i="4"/>
  <c r="C177" i="4"/>
  <c r="A178" i="4"/>
  <c r="C178" i="4"/>
  <c r="A179" i="4"/>
  <c r="C179" i="4"/>
  <c r="C203" i="4"/>
  <c r="A204" i="4"/>
  <c r="C204" i="4"/>
  <c r="A205" i="4"/>
  <c r="C205" i="4"/>
  <c r="C239" i="4"/>
  <c r="A240" i="4"/>
  <c r="C240" i="4"/>
  <c r="A241" i="4"/>
  <c r="C241" i="4"/>
  <c r="E261" i="4"/>
  <c r="B11" i="5"/>
  <c r="B12" i="5"/>
  <c r="E19" i="5"/>
  <c r="F19" i="5"/>
  <c r="G19" i="5"/>
  <c r="H19" i="5"/>
  <c r="I19" i="5"/>
  <c r="B194" i="5"/>
  <c r="C194" i="5"/>
  <c r="D194" i="5"/>
  <c r="B195" i="5"/>
  <c r="C195" i="5"/>
  <c r="D195" i="5"/>
  <c r="B208" i="5"/>
  <c r="B236" i="5" s="1"/>
  <c r="C208" i="5"/>
  <c r="C236" i="5" s="1"/>
  <c r="D208" i="5"/>
  <c r="B213" i="5"/>
  <c r="C213" i="5"/>
  <c r="D213" i="5"/>
  <c r="E211" i="5" s="1"/>
  <c r="B238" i="5"/>
  <c r="C238" i="5"/>
  <c r="D238" i="5"/>
  <c r="A10" i="3"/>
  <c r="B10" i="3"/>
  <c r="A11" i="3"/>
  <c r="B11" i="3"/>
  <c r="J15" i="3"/>
  <c r="J16" i="3" s="1"/>
  <c r="B19" i="3"/>
  <c r="B19" i="5" s="1"/>
  <c r="C19" i="3"/>
  <c r="D19" i="3"/>
  <c r="A21" i="3"/>
  <c r="B21" i="3"/>
  <c r="C21" i="3"/>
  <c r="D21" i="3"/>
  <c r="A24" i="3"/>
  <c r="B24" i="3"/>
  <c r="B25" i="3" s="1"/>
  <c r="C24" i="3"/>
  <c r="C25" i="3" s="1"/>
  <c r="D24" i="3"/>
  <c r="A27" i="3"/>
  <c r="A31" i="3"/>
  <c r="B31" i="3"/>
  <c r="B32" i="3" s="1"/>
  <c r="C31" i="3"/>
  <c r="D31" i="3"/>
  <c r="A34" i="3"/>
  <c r="B34" i="3"/>
  <c r="C34" i="3"/>
  <c r="D34" i="3"/>
  <c r="A37" i="3"/>
  <c r="B37" i="3"/>
  <c r="B38" i="3" s="1"/>
  <c r="C37" i="3"/>
  <c r="D37" i="3"/>
  <c r="D39" i="3" s="1"/>
  <c r="A40" i="3"/>
  <c r="B40" i="3"/>
  <c r="B41" i="3" s="1"/>
  <c r="C40" i="3"/>
  <c r="D40" i="3"/>
  <c r="A43" i="3"/>
  <c r="B43" i="3"/>
  <c r="C43" i="3"/>
  <c r="D43" i="3"/>
  <c r="F44" i="3"/>
  <c r="G44" i="3" s="1"/>
  <c r="H44" i="3" s="1"/>
  <c r="I44" i="3" s="1"/>
  <c r="A46" i="3"/>
  <c r="B46" i="3"/>
  <c r="C46" i="3"/>
  <c r="C47" i="3" s="1"/>
  <c r="D46" i="3"/>
  <c r="D48" i="3" s="1"/>
  <c r="F47" i="3"/>
  <c r="G47" i="3" s="1"/>
  <c r="H47" i="3" s="1"/>
  <c r="I47" i="3" s="1"/>
  <c r="A49" i="3"/>
  <c r="B49" i="3"/>
  <c r="C49" i="3"/>
  <c r="D49" i="3"/>
  <c r="F50" i="3"/>
  <c r="A52" i="3"/>
  <c r="B52" i="3"/>
  <c r="C52" i="3"/>
  <c r="C54" i="3" s="1"/>
  <c r="D52" i="3"/>
  <c r="A55" i="3"/>
  <c r="A59" i="3"/>
  <c r="B59" i="3"/>
  <c r="C59" i="3"/>
  <c r="D59" i="3"/>
  <c r="A62" i="3"/>
  <c r="B62" i="3"/>
  <c r="C62" i="3"/>
  <c r="D62" i="3"/>
  <c r="A65" i="3"/>
  <c r="B65" i="3"/>
  <c r="B66" i="3" s="1"/>
  <c r="C65" i="3"/>
  <c r="D65" i="3"/>
  <c r="D66" i="3" s="1"/>
  <c r="A68" i="3"/>
  <c r="B68" i="3"/>
  <c r="C68" i="3"/>
  <c r="F69" i="3"/>
  <c r="G69" i="3"/>
  <c r="H69" i="3" s="1"/>
  <c r="I69" i="3" s="1"/>
  <c r="A71" i="3"/>
  <c r="A75" i="3"/>
  <c r="B75" i="3"/>
  <c r="B76" i="3" s="1"/>
  <c r="C75" i="3"/>
  <c r="D75" i="3"/>
  <c r="D77" i="3" s="1"/>
  <c r="A78" i="3"/>
  <c r="B78" i="3"/>
  <c r="C78" i="3"/>
  <c r="D80" i="3" s="1"/>
  <c r="D78" i="3"/>
  <c r="F79" i="3"/>
  <c r="G79" i="3" s="1"/>
  <c r="H79" i="3" s="1"/>
  <c r="I79" i="3" s="1"/>
  <c r="A81" i="3"/>
  <c r="B81" i="3"/>
  <c r="B82" i="3" s="1"/>
  <c r="C81" i="3"/>
  <c r="D81" i="3"/>
  <c r="F82" i="3"/>
  <c r="G82" i="3"/>
  <c r="H82" i="3" s="1"/>
  <c r="I82" i="3" s="1"/>
  <c r="A84" i="3"/>
  <c r="A94" i="3"/>
  <c r="F95" i="3"/>
  <c r="G95" i="3" s="1"/>
  <c r="H95" i="3" s="1"/>
  <c r="I95" i="3" s="1"/>
  <c r="A97" i="3"/>
  <c r="A103" i="3"/>
  <c r="B103" i="3"/>
  <c r="A104" i="3"/>
  <c r="B104" i="3"/>
  <c r="E112" i="3"/>
  <c r="F112" i="3"/>
  <c r="G112" i="3"/>
  <c r="H112" i="3"/>
  <c r="I112" i="3"/>
  <c r="J112" i="3"/>
  <c r="A115" i="3"/>
  <c r="B115" i="3"/>
  <c r="C115" i="3"/>
  <c r="D115" i="3"/>
  <c r="A118" i="3"/>
  <c r="B118" i="3"/>
  <c r="C299" i="3" s="1"/>
  <c r="C118" i="3"/>
  <c r="D118" i="3"/>
  <c r="A121" i="3"/>
  <c r="B121" i="3"/>
  <c r="C283" i="3" s="1"/>
  <c r="C121" i="3"/>
  <c r="D121" i="3"/>
  <c r="D139" i="3" s="1"/>
  <c r="A124" i="3"/>
  <c r="B124" i="3"/>
  <c r="C284" i="3" s="1"/>
  <c r="C124" i="3"/>
  <c r="D124" i="3"/>
  <c r="F125" i="3"/>
  <c r="G125" i="3" s="1"/>
  <c r="H125" i="3" s="1"/>
  <c r="I125" i="3" s="1"/>
  <c r="A127" i="3"/>
  <c r="B127" i="3"/>
  <c r="C127" i="3"/>
  <c r="D127" i="3"/>
  <c r="A130" i="3"/>
  <c r="B130" i="3"/>
  <c r="C130" i="3"/>
  <c r="C132" i="3" s="1"/>
  <c r="D130" i="3"/>
  <c r="D132" i="3" s="1"/>
  <c r="A133" i="3"/>
  <c r="B133" i="3"/>
  <c r="C133" i="3"/>
  <c r="D133" i="3"/>
  <c r="F134" i="3"/>
  <c r="G134" i="3" s="1"/>
  <c r="H134" i="3" s="1"/>
  <c r="I134" i="3" s="1"/>
  <c r="A136" i="3"/>
  <c r="B136" i="3"/>
  <c r="C136" i="3"/>
  <c r="D136" i="3"/>
  <c r="E136" i="3" s="1"/>
  <c r="F137" i="3"/>
  <c r="G137" i="3"/>
  <c r="H137" i="3"/>
  <c r="I137" i="3" s="1"/>
  <c r="A139" i="3"/>
  <c r="F143" i="3"/>
  <c r="G143" i="3" s="1"/>
  <c r="H143" i="3" s="1"/>
  <c r="I143" i="3" s="1"/>
  <c r="F164" i="3"/>
  <c r="G164" i="3" s="1"/>
  <c r="A166" i="3"/>
  <c r="A171" i="3"/>
  <c r="B171" i="3"/>
  <c r="C171" i="3"/>
  <c r="D171" i="3"/>
  <c r="F172" i="3"/>
  <c r="G172" i="3" s="1"/>
  <c r="H172" i="3" s="1"/>
  <c r="I172" i="3" s="1"/>
  <c r="A174" i="3"/>
  <c r="A177" i="3"/>
  <c r="B177" i="3"/>
  <c r="C177" i="3"/>
  <c r="D177" i="3"/>
  <c r="A180" i="3"/>
  <c r="B180" i="3"/>
  <c r="C180" i="3"/>
  <c r="D180" i="3"/>
  <c r="I180" i="3"/>
  <c r="A183" i="3"/>
  <c r="B183" i="3"/>
  <c r="C183" i="3"/>
  <c r="C185" i="3" s="1"/>
  <c r="D183" i="3"/>
  <c r="E183" i="3" s="1"/>
  <c r="F183" i="3" s="1"/>
  <c r="F184" i="3"/>
  <c r="G184" i="3" s="1"/>
  <c r="H184" i="3" s="1"/>
  <c r="I184" i="3" s="1"/>
  <c r="E186" i="3"/>
  <c r="A192" i="3"/>
  <c r="B192" i="3"/>
  <c r="C192" i="3"/>
  <c r="D192" i="3"/>
  <c r="E192" i="3" s="1"/>
  <c r="E292" i="3" s="1"/>
  <c r="F193" i="3"/>
  <c r="A195" i="3"/>
  <c r="A198" i="3"/>
  <c r="B198" i="3"/>
  <c r="C198" i="3"/>
  <c r="D198" i="3"/>
  <c r="E198" i="3" s="1"/>
  <c r="A201" i="3"/>
  <c r="B201" i="3"/>
  <c r="C201" i="3"/>
  <c r="D201" i="3"/>
  <c r="A204" i="3"/>
  <c r="B204" i="3"/>
  <c r="C204" i="3"/>
  <c r="C206" i="3" s="1"/>
  <c r="D204" i="3"/>
  <c r="E204" i="3" s="1"/>
  <c r="F204" i="3" s="1"/>
  <c r="A207" i="3"/>
  <c r="B207" i="3"/>
  <c r="C207" i="3"/>
  <c r="D207" i="3"/>
  <c r="E207" i="3" s="1"/>
  <c r="E295" i="3" s="1"/>
  <c r="F208" i="3"/>
  <c r="G208" i="3" s="1"/>
  <c r="H208" i="3" s="1"/>
  <c r="I208" i="3" s="1"/>
  <c r="A210" i="3"/>
  <c r="B210" i="3"/>
  <c r="C210" i="3"/>
  <c r="D210" i="3"/>
  <c r="F211" i="3"/>
  <c r="G211" i="3" s="1"/>
  <c r="H211" i="3" s="1"/>
  <c r="I211" i="3" s="1"/>
  <c r="A213" i="3"/>
  <c r="A218" i="3"/>
  <c r="E218" i="3"/>
  <c r="A222" i="3"/>
  <c r="A225" i="3"/>
  <c r="B225" i="3"/>
  <c r="C225" i="3"/>
  <c r="D227" i="3" s="1"/>
  <c r="D225" i="3"/>
  <c r="A228" i="3"/>
  <c r="B228" i="3"/>
  <c r="C228" i="3"/>
  <c r="C310" i="3" s="1"/>
  <c r="D228" i="3"/>
  <c r="E228" i="3" s="1"/>
  <c r="F229" i="3"/>
  <c r="G229" i="3" s="1"/>
  <c r="H229" i="3" s="1"/>
  <c r="I229" i="3" s="1"/>
  <c r="A231" i="3"/>
  <c r="B231" i="3"/>
  <c r="C231" i="3"/>
  <c r="D231" i="3"/>
  <c r="D233" i="3" s="1"/>
  <c r="A234" i="3"/>
  <c r="A243" i="3"/>
  <c r="F253" i="3"/>
  <c r="G253" i="3" s="1"/>
  <c r="H253" i="3" s="1"/>
  <c r="I253" i="3" s="1"/>
  <c r="F255" i="3"/>
  <c r="G256" i="3"/>
  <c r="A274" i="3"/>
  <c r="B274" i="3"/>
  <c r="A275" i="3"/>
  <c r="B275" i="3"/>
  <c r="E278" i="3"/>
  <c r="F278" i="3"/>
  <c r="G278" i="3"/>
  <c r="H278" i="3"/>
  <c r="I278" i="3"/>
  <c r="J278" i="3"/>
  <c r="A321" i="3"/>
  <c r="B321" i="3"/>
  <c r="A322" i="3"/>
  <c r="B322" i="3"/>
  <c r="B325" i="3"/>
  <c r="C325" i="3"/>
  <c r="D325" i="3"/>
  <c r="E325" i="3"/>
  <c r="F325" i="3"/>
  <c r="G325" i="3"/>
  <c r="H325" i="3"/>
  <c r="I325" i="3"/>
  <c r="J325" i="3"/>
  <c r="A9" i="2"/>
  <c r="B9" i="2"/>
  <c r="A10" i="2"/>
  <c r="B10" i="2"/>
  <c r="A14" i="2"/>
  <c r="A15" i="2"/>
  <c r="A16" i="2"/>
  <c r="B21" i="2"/>
  <c r="C21" i="2"/>
  <c r="D21" i="2"/>
  <c r="E21" i="2"/>
  <c r="F21" i="2"/>
  <c r="B78" i="2"/>
  <c r="C78" i="2"/>
  <c r="D78" i="2"/>
  <c r="E78" i="2"/>
  <c r="F78" i="2"/>
  <c r="B129" i="2"/>
  <c r="C129" i="2"/>
  <c r="D129" i="2"/>
  <c r="E129" i="2"/>
  <c r="F129" i="2"/>
  <c r="A131" i="2"/>
  <c r="A310" i="2" s="1"/>
  <c r="B161" i="2"/>
  <c r="C161" i="2"/>
  <c r="D161" i="2"/>
  <c r="E161" i="2"/>
  <c r="F161" i="2"/>
  <c r="A165" i="2"/>
  <c r="B196" i="2"/>
  <c r="C196" i="2"/>
  <c r="D196" i="2"/>
  <c r="E196" i="2"/>
  <c r="F196" i="2"/>
  <c r="A198" i="2"/>
  <c r="A199" i="2"/>
  <c r="B247" i="2"/>
  <c r="C247" i="2"/>
  <c r="D247" i="2"/>
  <c r="E247" i="2"/>
  <c r="F247" i="2"/>
  <c r="A250" i="2"/>
  <c r="A251" i="2"/>
  <c r="C302" i="2"/>
  <c r="B337" i="2" s="1"/>
  <c r="D302" i="2"/>
  <c r="C324" i="2" s="1"/>
  <c r="C327" i="2" s="1"/>
  <c r="E302" i="2"/>
  <c r="D324" i="2" s="1"/>
  <c r="D327" i="2" s="1"/>
  <c r="B364" i="2"/>
  <c r="C364" i="2"/>
  <c r="D364" i="2"/>
  <c r="E364" i="2"/>
  <c r="F364" i="2"/>
  <c r="A367" i="2"/>
  <c r="A368" i="2"/>
  <c r="B368" i="2"/>
  <c r="C368" i="2"/>
  <c r="D368" i="2"/>
  <c r="E368" i="2"/>
  <c r="F368" i="2"/>
  <c r="B369" i="2"/>
  <c r="C369" i="2"/>
  <c r="D369" i="2"/>
  <c r="E369" i="2"/>
  <c r="F369" i="2"/>
  <c r="A371" i="2"/>
  <c r="D374" i="2"/>
  <c r="E374" i="2"/>
  <c r="F374" i="2"/>
  <c r="B376" i="2"/>
  <c r="C376" i="2"/>
  <c r="A377" i="2"/>
  <c r="B381" i="2"/>
  <c r="C381" i="2"/>
  <c r="D381" i="2"/>
  <c r="E381" i="2"/>
  <c r="B383" i="2"/>
  <c r="C383" i="2"/>
  <c r="D383" i="2"/>
  <c r="E383" i="2"/>
  <c r="F383" i="2"/>
  <c r="B384" i="2"/>
  <c r="C384" i="2"/>
  <c r="A385" i="2"/>
  <c r="A387" i="2"/>
  <c r="B387" i="2"/>
  <c r="C387" i="2"/>
  <c r="D387" i="2"/>
  <c r="E387" i="2"/>
  <c r="F387" i="2"/>
  <c r="A388" i="2"/>
  <c r="G24" i="1"/>
  <c r="B222" i="3"/>
  <c r="C222" i="3"/>
  <c r="C309" i="3" s="1"/>
  <c r="D222" i="3"/>
  <c r="D234" i="3" s="1"/>
  <c r="E155" i="4" s="1"/>
  <c r="G63" i="1"/>
  <c r="G67" i="1"/>
  <c r="F66" i="2"/>
  <c r="G95" i="1"/>
  <c r="G140" i="1"/>
  <c r="F25" i="4"/>
  <c r="E169" i="4" s="1"/>
  <c r="B174" i="3"/>
  <c r="C176" i="3" s="1"/>
  <c r="G57" i="1"/>
  <c r="F122" i="2" s="1"/>
  <c r="C288" i="2"/>
  <c r="E375" i="2"/>
  <c r="B288" i="2"/>
  <c r="C287" i="2"/>
  <c r="D380" i="2"/>
  <c r="B287" i="2"/>
  <c r="F380" i="2"/>
  <c r="C174" i="3"/>
  <c r="D287" i="2"/>
  <c r="D288" i="2"/>
  <c r="D132" i="1"/>
  <c r="G288" i="2"/>
  <c r="D44" i="1"/>
  <c r="C82" i="2" s="1"/>
  <c r="B345" i="2"/>
  <c r="G287" i="2"/>
  <c r="G44" i="1"/>
  <c r="G50" i="1" s="1"/>
  <c r="C132" i="1"/>
  <c r="E380" i="2"/>
  <c r="B218" i="3"/>
  <c r="F287" i="2"/>
  <c r="E287" i="2"/>
  <c r="C218" i="3"/>
  <c r="C220" i="3" s="1"/>
  <c r="D223" i="5"/>
  <c r="E207" i="5"/>
  <c r="F63" i="3"/>
  <c r="G63" i="3" s="1"/>
  <c r="H63" i="3" s="1"/>
  <c r="I63" i="3" s="1"/>
  <c r="F40" i="4"/>
  <c r="F76" i="3"/>
  <c r="G76" i="3" s="1"/>
  <c r="H76" i="3" s="1"/>
  <c r="I76" i="3" s="1"/>
  <c r="F41" i="4"/>
  <c r="C46" i="2"/>
  <c r="E384" i="2"/>
  <c r="B190" i="2"/>
  <c r="B156" i="2"/>
  <c r="C190" i="2"/>
  <c r="G50" i="3"/>
  <c r="H50" i="3" s="1"/>
  <c r="I50" i="3" s="1"/>
  <c r="H164" i="3"/>
  <c r="I164" i="3" s="1"/>
  <c r="H256" i="3"/>
  <c r="H255" i="3" s="1"/>
  <c r="G255" i="3"/>
  <c r="D46" i="2"/>
  <c r="B355" i="3" s="1"/>
  <c r="F149" i="1"/>
  <c r="F50" i="1"/>
  <c r="D61" i="2"/>
  <c r="D309" i="3"/>
  <c r="B105" i="2"/>
  <c r="D179" i="3"/>
  <c r="D51" i="3"/>
  <c r="E233" i="4"/>
  <c r="D156" i="2"/>
  <c r="D190" i="2"/>
  <c r="C61" i="3"/>
  <c r="D167" i="2"/>
  <c r="D285" i="3"/>
  <c r="C33" i="3"/>
  <c r="C35" i="3"/>
  <c r="D182" i="3"/>
  <c r="D42" i="3"/>
  <c r="F76" i="1"/>
  <c r="F81" i="1" s="1"/>
  <c r="E108" i="2" s="1"/>
  <c r="F61" i="2"/>
  <c r="E66" i="2"/>
  <c r="C50" i="1"/>
  <c r="B103" i="2" s="1"/>
  <c r="B66" i="2"/>
  <c r="B133" i="2"/>
  <c r="E46" i="2"/>
  <c r="C355" i="3" s="1"/>
  <c r="E133" i="2"/>
  <c r="C312" i="2" s="1"/>
  <c r="B50" i="1"/>
  <c r="G279" i="2"/>
  <c r="E156" i="2"/>
  <c r="C94" i="3"/>
  <c r="C95" i="3" s="1"/>
  <c r="E121" i="1"/>
  <c r="D376" i="2"/>
  <c r="E370" i="2"/>
  <c r="C63" i="3"/>
  <c r="D176" i="3"/>
  <c r="F370" i="2"/>
  <c r="C133" i="2"/>
  <c r="C295" i="3"/>
  <c r="C203" i="3"/>
  <c r="B292" i="2"/>
  <c r="D122" i="2"/>
  <c r="E290" i="3"/>
  <c r="C27" i="3"/>
  <c r="C41" i="3"/>
  <c r="D360" i="3"/>
  <c r="C19" i="5"/>
  <c r="C292" i="3"/>
  <c r="E172" i="4"/>
  <c r="C311" i="3"/>
  <c r="D294" i="3"/>
  <c r="C286" i="3"/>
  <c r="D311" i="3"/>
  <c r="D50" i="1"/>
  <c r="D60" i="1" s="1"/>
  <c r="C81" i="2"/>
  <c r="F133" i="2"/>
  <c r="D312" i="2" s="1"/>
  <c r="F46" i="2"/>
  <c r="D355" i="3" s="1"/>
  <c r="G76" i="1"/>
  <c r="D200" i="3"/>
  <c r="G190" i="2"/>
  <c r="F190" i="2"/>
  <c r="D94" i="3"/>
  <c r="F376" i="2"/>
  <c r="G121" i="1"/>
  <c r="F167" i="2"/>
  <c r="E177" i="3"/>
  <c r="F156" i="2"/>
  <c r="G167" i="2"/>
  <c r="C76" i="3"/>
  <c r="C77" i="3"/>
  <c r="E81" i="2"/>
  <c r="C364" i="3" s="1"/>
  <c r="F33" i="1"/>
  <c r="E220" i="2" s="1"/>
  <c r="B120" i="2"/>
  <c r="C292" i="2"/>
  <c r="E112" i="4"/>
  <c r="D209" i="3"/>
  <c r="D79" i="3"/>
  <c r="C233" i="3"/>
  <c r="E59" i="1"/>
  <c r="D59" i="1"/>
  <c r="C294" i="2" s="1"/>
  <c r="C122" i="2"/>
  <c r="D284" i="3"/>
  <c r="D126" i="3"/>
  <c r="C149" i="1"/>
  <c r="B123" i="2" s="1"/>
  <c r="D129" i="3"/>
  <c r="C135" i="3"/>
  <c r="C64" i="3"/>
  <c r="D54" i="3"/>
  <c r="F180" i="2"/>
  <c r="C138" i="3"/>
  <c r="D63" i="3"/>
  <c r="D60" i="3"/>
  <c r="C50" i="3"/>
  <c r="C44" i="3"/>
  <c r="C42" i="3"/>
  <c r="C39" i="3"/>
  <c r="D33" i="1"/>
  <c r="C209" i="2" s="1"/>
  <c r="E118" i="3"/>
  <c r="E299" i="3" s="1"/>
  <c r="D120" i="3"/>
  <c r="D299" i="3"/>
  <c r="B53" i="3"/>
  <c r="D35" i="3"/>
  <c r="F35" i="3" s="1"/>
  <c r="G35" i="3" s="1"/>
  <c r="H35" i="3" s="1"/>
  <c r="I35" i="3" s="1"/>
  <c r="D36" i="3"/>
  <c r="D33" i="3"/>
  <c r="D32" i="3"/>
  <c r="B22" i="3"/>
  <c r="B47" i="3"/>
  <c r="B35" i="3"/>
  <c r="B60" i="3"/>
  <c r="B88" i="3"/>
  <c r="B27" i="3"/>
  <c r="C29" i="3" s="1"/>
  <c r="D45" i="3"/>
  <c r="B63" i="3"/>
  <c r="D289" i="3"/>
  <c r="D286" i="3"/>
  <c r="D135" i="3"/>
  <c r="C69" i="3"/>
  <c r="C22" i="3"/>
  <c r="C60" i="3"/>
  <c r="C23" i="3"/>
  <c r="D19" i="5"/>
  <c r="D89" i="3"/>
  <c r="C89" i="3"/>
  <c r="D212" i="3"/>
  <c r="D296" i="3"/>
  <c r="E210" i="3"/>
  <c r="E142" i="3"/>
  <c r="C123" i="3"/>
  <c r="D283" i="3"/>
  <c r="C48" i="3"/>
  <c r="C32" i="3"/>
  <c r="C38" i="3"/>
  <c r="C88" i="3"/>
  <c r="E133" i="3"/>
  <c r="C200" i="3"/>
  <c r="C224" i="3"/>
  <c r="C234" i="3"/>
  <c r="D310" i="3"/>
  <c r="C296" i="3"/>
  <c r="C209" i="3"/>
  <c r="D290" i="3"/>
  <c r="C126" i="3"/>
  <c r="C120" i="3"/>
  <c r="C66" i="3"/>
  <c r="C83" i="3"/>
  <c r="B69" i="3"/>
  <c r="B112" i="3"/>
  <c r="E308" i="3"/>
  <c r="E115" i="4"/>
  <c r="E85" i="4"/>
  <c r="E87" i="3"/>
  <c r="E313" i="3" s="1"/>
  <c r="D295" i="3"/>
  <c r="C231" i="2"/>
  <c r="C239" i="2"/>
  <c r="E199" i="2"/>
  <c r="C241" i="2"/>
  <c r="E47" i="2"/>
  <c r="C356" i="3" s="1"/>
  <c r="E142" i="2"/>
  <c r="C314" i="2" s="1"/>
  <c r="E67" i="2"/>
  <c r="D104" i="2"/>
  <c r="D105" i="2"/>
  <c r="C229" i="2"/>
  <c r="C204" i="2"/>
  <c r="D95" i="3"/>
  <c r="B119" i="2"/>
  <c r="C240" i="2"/>
  <c r="F67" i="2"/>
  <c r="F62" i="2"/>
  <c r="F52" i="2"/>
  <c r="C236" i="2"/>
  <c r="C207" i="2"/>
  <c r="C218" i="2"/>
  <c r="C232" i="2"/>
  <c r="E296" i="3"/>
  <c r="C240" i="3"/>
  <c r="B28" i="3"/>
  <c r="F143" i="1"/>
  <c r="E68" i="2"/>
  <c r="E147" i="2"/>
  <c r="C315" i="2" s="1"/>
  <c r="F86" i="1"/>
  <c r="E24" i="2" s="1"/>
  <c r="C333" i="3" s="1"/>
  <c r="E107" i="2"/>
  <c r="C370" i="3" s="1"/>
  <c r="C343" i="2"/>
  <c r="E69" i="2"/>
  <c r="E70" i="2"/>
  <c r="F204" i="2" l="1"/>
  <c r="F201" i="2"/>
  <c r="F237" i="2"/>
  <c r="F206" i="2"/>
  <c r="E157" i="4"/>
  <c r="E212" i="4"/>
  <c r="E216" i="4" s="1"/>
  <c r="E165" i="4"/>
  <c r="D81" i="1"/>
  <c r="C176" i="2"/>
  <c r="C67" i="2"/>
  <c r="F88" i="1"/>
  <c r="E201" i="2"/>
  <c r="C79" i="3"/>
  <c r="C230" i="3"/>
  <c r="D123" i="3"/>
  <c r="D230" i="3"/>
  <c r="C167" i="2"/>
  <c r="G132" i="1"/>
  <c r="E152" i="2"/>
  <c r="G81" i="1"/>
  <c r="B125" i="2"/>
  <c r="C67" i="3"/>
  <c r="B195" i="3"/>
  <c r="B213" i="3" s="1"/>
  <c r="D279" i="2"/>
  <c r="D185" i="3"/>
  <c r="F207" i="3"/>
  <c r="F295" i="3" s="1"/>
  <c r="I256" i="3"/>
  <c r="I255" i="3" s="1"/>
  <c r="F266" i="2"/>
  <c r="F92" i="1"/>
  <c r="E49" i="2" s="1"/>
  <c r="B147" i="3"/>
  <c r="E29" i="2"/>
  <c r="C317" i="2" s="1"/>
  <c r="C203" i="2"/>
  <c r="E240" i="2"/>
  <c r="D67" i="3"/>
  <c r="D224" i="3"/>
  <c r="C53" i="3"/>
  <c r="D292" i="3"/>
  <c r="E119" i="2"/>
  <c r="C55" i="3"/>
  <c r="C56" i="3" s="1"/>
  <c r="F123" i="2"/>
  <c r="C342" i="2"/>
  <c r="C237" i="2"/>
  <c r="E218" i="2"/>
  <c r="E237" i="2"/>
  <c r="E234" i="2"/>
  <c r="F210" i="3"/>
  <c r="F26" i="4"/>
  <c r="E125" i="2"/>
  <c r="D308" i="3"/>
  <c r="B60" i="1"/>
  <c r="F285" i="2"/>
  <c r="C294" i="3"/>
  <c r="E230" i="2"/>
  <c r="G183" i="3"/>
  <c r="H183" i="3" s="1"/>
  <c r="C80" i="3"/>
  <c r="G292" i="2"/>
  <c r="E121" i="2"/>
  <c r="G59" i="1"/>
  <c r="C199" i="2"/>
  <c r="C205" i="2"/>
  <c r="D144" i="3"/>
  <c r="F35" i="2"/>
  <c r="D344" i="3" s="1"/>
  <c r="C201" i="2"/>
  <c r="E205" i="2"/>
  <c r="E230" i="4"/>
  <c r="C33" i="1"/>
  <c r="D206" i="3"/>
  <c r="G180" i="2"/>
  <c r="E229" i="2"/>
  <c r="F97" i="1"/>
  <c r="C234" i="2"/>
  <c r="C76" i="1"/>
  <c r="F146" i="2"/>
  <c r="E203" i="2"/>
  <c r="B139" i="3"/>
  <c r="C202" i="2"/>
  <c r="C200" i="2"/>
  <c r="E228" i="2"/>
  <c r="D220" i="3"/>
  <c r="E266" i="4"/>
  <c r="F119" i="2"/>
  <c r="E238" i="2"/>
  <c r="B79" i="3"/>
  <c r="E227" i="2"/>
  <c r="C238" i="2"/>
  <c r="D96" i="3"/>
  <c r="E241" i="2"/>
  <c r="E82" i="4"/>
  <c r="C117" i="3"/>
  <c r="B121" i="1"/>
  <c r="C338" i="3"/>
  <c r="C119" i="2"/>
  <c r="C125" i="2"/>
  <c r="C123" i="2"/>
  <c r="D267" i="2"/>
  <c r="G266" i="2"/>
  <c r="C230" i="2"/>
  <c r="I183" i="3"/>
  <c r="G204" i="3"/>
  <c r="H204" i="3" s="1"/>
  <c r="I204" i="3" s="1"/>
  <c r="G207" i="3"/>
  <c r="E259" i="2"/>
  <c r="D370" i="2"/>
  <c r="C213" i="2"/>
  <c r="C162" i="3"/>
  <c r="C147" i="3"/>
  <c r="B233" i="2"/>
  <c r="E102" i="2"/>
  <c r="C368" i="3" s="1"/>
  <c r="C307" i="3"/>
  <c r="C173" i="3"/>
  <c r="E267" i="2"/>
  <c r="B156" i="3"/>
  <c r="C301" i="3"/>
  <c r="C156" i="3"/>
  <c r="C298" i="3"/>
  <c r="C290" i="3"/>
  <c r="D117" i="3"/>
  <c r="C150" i="3"/>
  <c r="D298" i="3"/>
  <c r="C306" i="3"/>
  <c r="D293" i="3"/>
  <c r="B162" i="3"/>
  <c r="E302" i="3"/>
  <c r="D301" i="3"/>
  <c r="D281" i="3"/>
  <c r="D300" i="3"/>
  <c r="F163" i="3"/>
  <c r="F302" i="3"/>
  <c r="F177" i="3"/>
  <c r="E306" i="3"/>
  <c r="D307" i="3"/>
  <c r="E145" i="3"/>
  <c r="E49" i="3" s="1"/>
  <c r="D162" i="3"/>
  <c r="E301" i="3"/>
  <c r="C153" i="3"/>
  <c r="C281" i="3"/>
  <c r="C289" i="3"/>
  <c r="C227" i="3"/>
  <c r="D306" i="3"/>
  <c r="C288" i="3"/>
  <c r="C293" i="3"/>
  <c r="C285" i="3"/>
  <c r="C300" i="3"/>
  <c r="C275" i="5"/>
  <c r="C265" i="5"/>
  <c r="E268" i="5"/>
  <c r="B275" i="5"/>
  <c r="B265" i="5"/>
  <c r="D275" i="5"/>
  <c r="D265" i="5"/>
  <c r="E310" i="3"/>
  <c r="F228" i="3"/>
  <c r="E228" i="4"/>
  <c r="E102" i="4"/>
  <c r="C308" i="3"/>
  <c r="C212" i="3"/>
  <c r="D203" i="3"/>
  <c r="C182" i="3"/>
  <c r="C179" i="3"/>
  <c r="D173" i="3"/>
  <c r="C70" i="3"/>
  <c r="D64" i="3"/>
  <c r="D61" i="3"/>
  <c r="C51" i="3"/>
  <c r="C36" i="3"/>
  <c r="D150" i="3"/>
  <c r="D195" i="3"/>
  <c r="D213" i="3" s="1"/>
  <c r="F192" i="3"/>
  <c r="E157" i="2"/>
  <c r="E74" i="2"/>
  <c r="E73" i="2"/>
  <c r="F221" i="2"/>
  <c r="F223" i="2"/>
  <c r="F225" i="2"/>
  <c r="F209" i="2"/>
  <c r="F211" i="2"/>
  <c r="F208" i="2"/>
  <c r="D344" i="2"/>
  <c r="D349" i="2" s="1"/>
  <c r="F224" i="2"/>
  <c r="F214" i="2"/>
  <c r="F229" i="2"/>
  <c r="F239" i="2"/>
  <c r="F241" i="2"/>
  <c r="F236" i="2"/>
  <c r="F268" i="2"/>
  <c r="D330" i="3" s="1"/>
  <c r="F220" i="2"/>
  <c r="F210" i="2"/>
  <c r="F226" i="2"/>
  <c r="F212" i="2"/>
  <c r="F235" i="2"/>
  <c r="F227" i="2"/>
  <c r="F219" i="2"/>
  <c r="F216" i="2"/>
  <c r="F232" i="2"/>
  <c r="D70" i="3"/>
  <c r="D69" i="3"/>
  <c r="G285" i="2"/>
  <c r="F102" i="2"/>
  <c r="D368" i="3" s="1"/>
  <c r="F259" i="2"/>
  <c r="F207" i="2"/>
  <c r="F233" i="2"/>
  <c r="F228" i="2"/>
  <c r="F199" i="2"/>
  <c r="G86" i="1"/>
  <c r="F63" i="2" s="1"/>
  <c r="F181" i="2"/>
  <c r="F81" i="2"/>
  <c r="D364" i="3" s="1"/>
  <c r="F222" i="2"/>
  <c r="F112" i="2"/>
  <c r="F113" i="2" s="1"/>
  <c r="F107" i="2"/>
  <c r="D370" i="3" s="1"/>
  <c r="F108" i="2"/>
  <c r="F42" i="2"/>
  <c r="D330" i="2" s="1"/>
  <c r="F202" i="2"/>
  <c r="F200" i="2"/>
  <c r="F230" i="2"/>
  <c r="F238" i="2"/>
  <c r="C28" i="3"/>
  <c r="F142" i="3"/>
  <c r="B50" i="3"/>
  <c r="B221" i="2"/>
  <c r="B223" i="2"/>
  <c r="B225" i="2"/>
  <c r="B209" i="2"/>
  <c r="B211" i="2"/>
  <c r="B213" i="2"/>
  <c r="B215" i="2"/>
  <c r="B220" i="2"/>
  <c r="B210" i="2"/>
  <c r="B207" i="2"/>
  <c r="B216" i="2"/>
  <c r="B237" i="2"/>
  <c r="B238" i="2"/>
  <c r="B204" i="2"/>
  <c r="B241" i="2"/>
  <c r="C36" i="2"/>
  <c r="B224" i="2"/>
  <c r="B214" i="2"/>
  <c r="B208" i="2"/>
  <c r="B212" i="2"/>
  <c r="C35" i="2"/>
  <c r="C25" i="2"/>
  <c r="B201" i="2"/>
  <c r="B232" i="2"/>
  <c r="B200" i="2"/>
  <c r="B218" i="2"/>
  <c r="C268" i="2"/>
  <c r="D294" i="2"/>
  <c r="E221" i="2"/>
  <c r="E223" i="2"/>
  <c r="E225" i="2"/>
  <c r="E209" i="2"/>
  <c r="E211" i="2"/>
  <c r="E208" i="2"/>
  <c r="E222" i="2"/>
  <c r="E212" i="2"/>
  <c r="E200" i="2"/>
  <c r="E207" i="2"/>
  <c r="E235" i="2"/>
  <c r="E231" i="2"/>
  <c r="E236" i="2"/>
  <c r="E219" i="2"/>
  <c r="F36" i="2"/>
  <c r="D345" i="3" s="1"/>
  <c r="E112" i="2"/>
  <c r="E113" i="2" s="1"/>
  <c r="E226" i="2"/>
  <c r="E210" i="2"/>
  <c r="E214" i="2"/>
  <c r="E216" i="2"/>
  <c r="E204" i="2"/>
  <c r="E239" i="2"/>
  <c r="E202" i="2"/>
  <c r="E206" i="2"/>
  <c r="E232" i="2"/>
  <c r="F25" i="2"/>
  <c r="D334" i="3" s="1"/>
  <c r="D240" i="3"/>
  <c r="D236" i="3"/>
  <c r="F47" i="2"/>
  <c r="D356" i="3" s="1"/>
  <c r="F176" i="2"/>
  <c r="F142" i="2"/>
  <c r="D314" i="2" s="1"/>
  <c r="C233" i="2"/>
  <c r="C103" i="2"/>
  <c r="C102" i="2"/>
  <c r="C285" i="2"/>
  <c r="C112" i="2"/>
  <c r="C113" i="2" s="1"/>
  <c r="B234" i="3"/>
  <c r="D287" i="3"/>
  <c r="C287" i="3"/>
  <c r="D138" i="3"/>
  <c r="E292" i="2"/>
  <c r="E122" i="2"/>
  <c r="F292" i="2"/>
  <c r="C346" i="2"/>
  <c r="F59" i="1"/>
  <c r="D346" i="2"/>
  <c r="D354" i="2" s="1"/>
  <c r="B121" i="2"/>
  <c r="B122" i="2"/>
  <c r="D384" i="2"/>
  <c r="D385" i="2" s="1"/>
  <c r="E132" i="1"/>
  <c r="E382" i="2"/>
  <c r="E385" i="2" s="1"/>
  <c r="F132" i="1"/>
  <c r="E224" i="2"/>
  <c r="B222" i="2"/>
  <c r="E287" i="3"/>
  <c r="F136" i="3"/>
  <c r="F287" i="3" s="1"/>
  <c r="F41" i="2"/>
  <c r="D350" i="3" s="1"/>
  <c r="F231" i="2"/>
  <c r="F205" i="2"/>
  <c r="C242" i="2"/>
  <c r="C105" i="2"/>
  <c r="C104" i="2"/>
  <c r="C243" i="2"/>
  <c r="F147" i="2"/>
  <c r="D315" i="2" s="1"/>
  <c r="F30" i="2"/>
  <c r="F240" i="2"/>
  <c r="F234" i="2"/>
  <c r="F218" i="2"/>
  <c r="F203" i="2"/>
  <c r="B55" i="3"/>
  <c r="E233" i="2"/>
  <c r="E103" i="2"/>
  <c r="C369" i="3" s="1"/>
  <c r="F133" i="3"/>
  <c r="F286" i="3" s="1"/>
  <c r="E286" i="3"/>
  <c r="G259" i="2"/>
  <c r="C60" i="1"/>
  <c r="B285" i="2"/>
  <c r="E260" i="4"/>
  <c r="F56" i="4"/>
  <c r="D83" i="3"/>
  <c r="C82" i="3"/>
  <c r="C45" i="3"/>
  <c r="B44" i="3"/>
  <c r="C26" i="3"/>
  <c r="D26" i="3"/>
  <c r="D88" i="3"/>
  <c r="D50" i="3"/>
  <c r="D44" i="3"/>
  <c r="D82" i="3"/>
  <c r="D23" i="3"/>
  <c r="D76" i="3"/>
  <c r="D22" i="3"/>
  <c r="D38" i="3"/>
  <c r="D41" i="3"/>
  <c r="D27" i="3"/>
  <c r="D47" i="3"/>
  <c r="D112" i="3"/>
  <c r="D278" i="3"/>
  <c r="D259" i="2"/>
  <c r="D207" i="2"/>
  <c r="E33" i="1"/>
  <c r="B33" i="1"/>
  <c r="G268" i="2" s="1"/>
  <c r="B259" i="2"/>
  <c r="B279" i="2"/>
  <c r="B227" i="2"/>
  <c r="B82" i="2"/>
  <c r="B81" i="2"/>
  <c r="B346" i="2"/>
  <c r="B354" i="2" s="1"/>
  <c r="D292" i="2"/>
  <c r="B167" i="2"/>
  <c r="B61" i="2"/>
  <c r="B76" i="1"/>
  <c r="B226" i="2"/>
  <c r="C220" i="2"/>
  <c r="C222" i="2"/>
  <c r="C224" i="2"/>
  <c r="C226" i="2"/>
  <c r="C210" i="2"/>
  <c r="C212" i="2"/>
  <c r="C214" i="2"/>
  <c r="C221" i="2"/>
  <c r="C211" i="2"/>
  <c r="C208" i="2"/>
  <c r="C219" i="2"/>
  <c r="C227" i="2"/>
  <c r="C228" i="2"/>
  <c r="C206" i="2"/>
  <c r="C235" i="2"/>
  <c r="C216" i="2"/>
  <c r="D30" i="2"/>
  <c r="E307" i="2" s="1"/>
  <c r="D42" i="2"/>
  <c r="D154" i="1"/>
  <c r="D14" i="2" s="1"/>
  <c r="C225" i="2"/>
  <c r="C215" i="2"/>
  <c r="C68" i="2"/>
  <c r="C108" i="2"/>
  <c r="F242" i="2"/>
  <c r="D194" i="3"/>
  <c r="C194" i="3"/>
  <c r="C139" i="3"/>
  <c r="E279" i="2"/>
  <c r="D82" i="2"/>
  <c r="B365" i="3" s="1"/>
  <c r="E50" i="1"/>
  <c r="F118" i="3"/>
  <c r="G119" i="3"/>
  <c r="H119" i="3" s="1"/>
  <c r="I119" i="3" s="1"/>
  <c r="D313" i="3"/>
  <c r="D239" i="3"/>
  <c r="C239" i="3"/>
  <c r="G88" i="3"/>
  <c r="F87" i="3"/>
  <c r="F237" i="3" s="1"/>
  <c r="B94" i="3"/>
  <c r="E190" i="2"/>
  <c r="F121" i="1"/>
  <c r="E376" i="2"/>
  <c r="E377" i="2" s="1"/>
  <c r="D121" i="2"/>
  <c r="D120" i="2"/>
  <c r="D119" i="2"/>
  <c r="B157" i="3"/>
  <c r="D265" i="2"/>
  <c r="D213" i="2"/>
  <c r="E213" i="2"/>
  <c r="C157" i="3"/>
  <c r="E265" i="2"/>
  <c r="C96" i="2"/>
  <c r="D121" i="1"/>
  <c r="C374" i="2"/>
  <c r="C377" i="2" s="1"/>
  <c r="B96" i="2"/>
  <c r="B374" i="2"/>
  <c r="B377" i="2" s="1"/>
  <c r="C121" i="1"/>
  <c r="C223" i="2"/>
  <c r="F265" i="2"/>
  <c r="F145" i="3"/>
  <c r="D359" i="3"/>
  <c r="F89" i="2"/>
  <c r="F94" i="2" s="1"/>
  <c r="E167" i="2"/>
  <c r="D133" i="2"/>
  <c r="B312" i="2" s="1"/>
  <c r="E76" i="1"/>
  <c r="E61" i="2"/>
  <c r="D66" i="2"/>
  <c r="C52" i="2"/>
  <c r="C142" i="2"/>
  <c r="C62" i="2"/>
  <c r="C47" i="2"/>
  <c r="G219" i="3"/>
  <c r="F218" i="3"/>
  <c r="F308" i="3" s="1"/>
  <c r="D123" i="2"/>
  <c r="D125" i="2"/>
  <c r="D25" i="3"/>
  <c r="F267" i="2"/>
  <c r="F215" i="2"/>
  <c r="D157" i="3"/>
  <c r="D166" i="3" s="1"/>
  <c r="D238" i="3" s="1"/>
  <c r="G265" i="2"/>
  <c r="F213" i="2"/>
  <c r="E52" i="2"/>
  <c r="D288" i="3"/>
  <c r="E231" i="3"/>
  <c r="C129" i="3"/>
  <c r="F82" i="2"/>
  <c r="D365" i="3" s="1"/>
  <c r="F279" i="2"/>
  <c r="C279" i="2"/>
  <c r="D53" i="3"/>
  <c r="C112" i="3"/>
  <c r="C278" i="3"/>
  <c r="C66" i="2"/>
  <c r="C61" i="2"/>
  <c r="E123" i="2"/>
  <c r="C163" i="3"/>
  <c r="D165" i="3" s="1"/>
  <c r="D147" i="3"/>
  <c r="D291" i="3"/>
  <c r="F186" i="3"/>
  <c r="F290" i="3" s="1"/>
  <c r="E215" i="2"/>
  <c r="D188" i="3"/>
  <c r="F95" i="5"/>
  <c r="G95" i="5" s="1"/>
  <c r="E34" i="5"/>
  <c r="E128" i="3" s="1"/>
  <c r="E127" i="3" s="1"/>
  <c r="E285" i="3" s="1"/>
  <c r="E100" i="5"/>
  <c r="F96" i="5"/>
  <c r="E41" i="5"/>
  <c r="F142" i="5"/>
  <c r="F144" i="5" s="1"/>
  <c r="E24" i="5"/>
  <c r="E206" i="5"/>
  <c r="E208" i="5" s="1"/>
  <c r="E148" i="3" s="1"/>
  <c r="E298" i="3" s="1"/>
  <c r="E199" i="5"/>
  <c r="C26" i="5"/>
  <c r="E153" i="5"/>
  <c r="E152" i="5" s="1"/>
  <c r="E69" i="5" s="1"/>
  <c r="E120" i="5"/>
  <c r="D26" i="5"/>
  <c r="B158" i="5"/>
  <c r="B174" i="5"/>
  <c r="B134" i="5"/>
  <c r="B110" i="5"/>
  <c r="C158" i="5"/>
  <c r="C174" i="5"/>
  <c r="C134" i="5"/>
  <c r="C110" i="5"/>
  <c r="H158" i="5"/>
  <c r="H174" i="5"/>
  <c r="H134" i="5"/>
  <c r="H110" i="5"/>
  <c r="F158" i="5"/>
  <c r="F174" i="5"/>
  <c r="F134" i="5"/>
  <c r="F110" i="5"/>
  <c r="D158" i="5"/>
  <c r="D174" i="5"/>
  <c r="D134" i="5"/>
  <c r="D110" i="5"/>
  <c r="I158" i="5"/>
  <c r="I174" i="5"/>
  <c r="I134" i="5"/>
  <c r="I110" i="5"/>
  <c r="G158" i="5"/>
  <c r="G174" i="5"/>
  <c r="G134" i="5"/>
  <c r="G110" i="5"/>
  <c r="E158" i="5"/>
  <c r="E174" i="5"/>
  <c r="E134" i="5"/>
  <c r="E110" i="5"/>
  <c r="C337" i="2"/>
  <c r="G310" i="2"/>
  <c r="B306" i="2"/>
  <c r="B309" i="2" s="1"/>
  <c r="C348" i="2"/>
  <c r="F312" i="2"/>
  <c r="F310" i="2"/>
  <c r="C306" i="2"/>
  <c r="C309" i="2" s="1"/>
  <c r="F385" i="2"/>
  <c r="C360" i="3"/>
  <c r="D306" i="2"/>
  <c r="D309" i="2" s="1"/>
  <c r="E89" i="2"/>
  <c r="D91" i="2"/>
  <c r="D94" i="2" s="1"/>
  <c r="C307" i="2"/>
  <c r="C352" i="2"/>
  <c r="C354" i="2"/>
  <c r="B324" i="2"/>
  <c r="B327" i="2" s="1"/>
  <c r="F306" i="2"/>
  <c r="F309" i="2" s="1"/>
  <c r="E310" i="2"/>
  <c r="G312" i="2"/>
  <c r="F377" i="2"/>
  <c r="B385" i="2"/>
  <c r="G306" i="2"/>
  <c r="G309" i="2" s="1"/>
  <c r="D377" i="2"/>
  <c r="E311" i="2"/>
  <c r="D337" i="2"/>
  <c r="C385" i="2"/>
  <c r="B94" i="2"/>
  <c r="C94" i="2"/>
  <c r="E91" i="2"/>
  <c r="G311" i="2"/>
  <c r="B361" i="3"/>
  <c r="B359" i="3"/>
  <c r="E306" i="2"/>
  <c r="E309" i="2" s="1"/>
  <c r="E47" i="5"/>
  <c r="F176" i="5"/>
  <c r="F42" i="4"/>
  <c r="F106" i="5"/>
  <c r="G106" i="5" s="1"/>
  <c r="H106" i="5" s="1"/>
  <c r="I106" i="5" s="1"/>
  <c r="B30" i="5"/>
  <c r="B87" i="5"/>
  <c r="D30" i="5"/>
  <c r="D87" i="5"/>
  <c r="I30" i="5"/>
  <c r="I87" i="5"/>
  <c r="E30" i="5"/>
  <c r="E87" i="5"/>
  <c r="H30" i="5"/>
  <c r="H87" i="5"/>
  <c r="C30" i="5"/>
  <c r="C87" i="5"/>
  <c r="E128" i="5"/>
  <c r="E68" i="5" s="1"/>
  <c r="G30" i="5"/>
  <c r="G87" i="5"/>
  <c r="B192" i="5"/>
  <c r="B205" i="5" s="1"/>
  <c r="D192" i="5"/>
  <c r="D205" i="5" s="1"/>
  <c r="C196" i="5"/>
  <c r="C200" i="5" s="1"/>
  <c r="F30" i="5"/>
  <c r="F87" i="5"/>
  <c r="F101" i="5"/>
  <c r="G101" i="5" s="1"/>
  <c r="C57" i="3"/>
  <c r="C71" i="3"/>
  <c r="C84" i="3" s="1"/>
  <c r="D36" i="5"/>
  <c r="E105" i="5"/>
  <c r="E67" i="5" s="1"/>
  <c r="B215" i="5"/>
  <c r="D219" i="5"/>
  <c r="E97" i="5"/>
  <c r="D236" i="5"/>
  <c r="D237" i="5" s="1"/>
  <c r="D239" i="5" s="1"/>
  <c r="G223" i="5" s="1"/>
  <c r="F118" i="5"/>
  <c r="G118" i="5" s="1"/>
  <c r="H118" i="5" s="1"/>
  <c r="D215" i="5"/>
  <c r="D220" i="5" s="1"/>
  <c r="D196" i="5"/>
  <c r="D199" i="5" s="1"/>
  <c r="G192" i="5"/>
  <c r="G205" i="5" s="1"/>
  <c r="G263" i="5" s="1"/>
  <c r="C215" i="5"/>
  <c r="C192" i="5"/>
  <c r="C205" i="5" s="1"/>
  <c r="C237" i="5"/>
  <c r="C239" i="5" s="1"/>
  <c r="H192" i="5"/>
  <c r="H205" i="5" s="1"/>
  <c r="H263" i="5" s="1"/>
  <c r="B196" i="5"/>
  <c r="B199" i="5" s="1"/>
  <c r="I192" i="5"/>
  <c r="I205" i="5" s="1"/>
  <c r="I263" i="5" s="1"/>
  <c r="E192" i="5"/>
  <c r="E205" i="5" s="1"/>
  <c r="E263" i="5" s="1"/>
  <c r="F192" i="5"/>
  <c r="F205" i="5" s="1"/>
  <c r="F263" i="5" s="1"/>
  <c r="G143" i="5"/>
  <c r="H143" i="5" s="1"/>
  <c r="I143" i="5" s="1"/>
  <c r="F148" i="5"/>
  <c r="G148" i="5" s="1"/>
  <c r="H148" i="5" s="1"/>
  <c r="E144" i="5"/>
  <c r="H129" i="5"/>
  <c r="G128" i="5"/>
  <c r="G68" i="5" s="1"/>
  <c r="F128" i="5"/>
  <c r="F68" i="5" s="1"/>
  <c r="G124" i="5"/>
  <c r="D43" i="5"/>
  <c r="G145" i="3"/>
  <c r="H75" i="4"/>
  <c r="F292" i="3"/>
  <c r="G193" i="3"/>
  <c r="H193" i="3" s="1"/>
  <c r="I193" i="3" s="1"/>
  <c r="D191" i="3"/>
  <c r="C191" i="3"/>
  <c r="C195" i="3"/>
  <c r="C188" i="3"/>
  <c r="I219" i="4"/>
  <c r="D153" i="3"/>
  <c r="I160" i="4"/>
  <c r="E80" i="4"/>
  <c r="E219" i="4"/>
  <c r="I75" i="4"/>
  <c r="F65" i="3"/>
  <c r="E65" i="3"/>
  <c r="F160" i="3"/>
  <c r="G163" i="3"/>
  <c r="F160" i="4"/>
  <c r="D156" i="3"/>
  <c r="E226" i="4"/>
  <c r="G105" i="4"/>
  <c r="E75" i="4"/>
  <c r="E110" i="4"/>
  <c r="H105" i="4"/>
  <c r="H160" i="4"/>
  <c r="H219" i="4"/>
  <c r="J109" i="3"/>
  <c r="F75" i="4"/>
  <c r="F219" i="4"/>
  <c r="I105" i="4"/>
  <c r="E160" i="4"/>
  <c r="E167" i="4"/>
  <c r="G219" i="4"/>
  <c r="G160" i="4"/>
  <c r="F105" i="4"/>
  <c r="G75" i="4"/>
  <c r="E105" i="4"/>
  <c r="J52" i="3"/>
  <c r="J68" i="3"/>
  <c r="J94" i="3"/>
  <c r="J81" i="3"/>
  <c r="J78" i="3"/>
  <c r="F28" i="4"/>
  <c r="J108" i="3"/>
  <c r="F104" i="2" l="1"/>
  <c r="G294" i="2"/>
  <c r="F296" i="3"/>
  <c r="G210" i="3"/>
  <c r="E37" i="2"/>
  <c r="C346" i="3" s="1"/>
  <c r="E34" i="2"/>
  <c r="C343" i="3" s="1"/>
  <c r="E53" i="2"/>
  <c r="E154" i="2"/>
  <c r="E48" i="2"/>
  <c r="E124" i="2"/>
  <c r="F155" i="1"/>
  <c r="F15" i="2" s="1"/>
  <c r="E40" i="2"/>
  <c r="E43" i="2"/>
  <c r="F105" i="2"/>
  <c r="F68" i="2"/>
  <c r="D343" i="2"/>
  <c r="D352" i="2" s="1"/>
  <c r="G143" i="1"/>
  <c r="D143" i="1"/>
  <c r="C147" i="2"/>
  <c r="D86" i="1"/>
  <c r="C107" i="2"/>
  <c r="C181" i="2"/>
  <c r="F97" i="5"/>
  <c r="B229" i="2"/>
  <c r="B228" i="2"/>
  <c r="B202" i="2"/>
  <c r="B240" i="2"/>
  <c r="B236" i="2"/>
  <c r="B219" i="2"/>
  <c r="B239" i="2"/>
  <c r="C41" i="2"/>
  <c r="B203" i="2"/>
  <c r="B234" i="2"/>
  <c r="B242" i="2"/>
  <c r="B235" i="2"/>
  <c r="B230" i="2"/>
  <c r="B206" i="2"/>
  <c r="B199" i="2"/>
  <c r="C42" i="2"/>
  <c r="C30" i="2"/>
  <c r="B231" i="2"/>
  <c r="B205" i="2"/>
  <c r="B102" i="2"/>
  <c r="F103" i="2"/>
  <c r="D369" i="3" s="1"/>
  <c r="F113" i="1"/>
  <c r="E83" i="2" s="1"/>
  <c r="E367" i="2"/>
  <c r="E371" i="2" s="1"/>
  <c r="G186" i="3"/>
  <c r="G290" i="3" s="1"/>
  <c r="G60" i="1"/>
  <c r="G295" i="2" s="1"/>
  <c r="B47" i="2"/>
  <c r="C81" i="1"/>
  <c r="B67" i="2"/>
  <c r="B142" i="2"/>
  <c r="B52" i="2"/>
  <c r="F57" i="4"/>
  <c r="F58" i="4"/>
  <c r="F55" i="4"/>
  <c r="F59" i="4" s="1"/>
  <c r="G255" i="4" s="1"/>
  <c r="F134" i="1"/>
  <c r="F156" i="1" s="1"/>
  <c r="F16" i="2" s="1"/>
  <c r="F153" i="5"/>
  <c r="F152" i="5" s="1"/>
  <c r="F69" i="5" s="1"/>
  <c r="E94" i="2"/>
  <c r="D329" i="2"/>
  <c r="H207" i="3"/>
  <c r="G295" i="3"/>
  <c r="G160" i="3"/>
  <c r="C165" i="3"/>
  <c r="D302" i="3"/>
  <c r="C159" i="3"/>
  <c r="D303" i="3"/>
  <c r="D305" i="3" s="1"/>
  <c r="B166" i="3"/>
  <c r="B232" i="3" s="1"/>
  <c r="C303" i="3"/>
  <c r="C305" i="3" s="1"/>
  <c r="G142" i="3"/>
  <c r="G49" i="3"/>
  <c r="F301" i="3"/>
  <c r="C85" i="3"/>
  <c r="C280" i="3"/>
  <c r="C297" i="3" s="1"/>
  <c r="E157" i="3"/>
  <c r="F306" i="3"/>
  <c r="G177" i="3"/>
  <c r="C302" i="3"/>
  <c r="F300" i="3"/>
  <c r="F49" i="3"/>
  <c r="G302" i="3"/>
  <c r="E300" i="3"/>
  <c r="F76" i="5"/>
  <c r="F78" i="5" s="1"/>
  <c r="F46" i="5" s="1"/>
  <c r="E57" i="5"/>
  <c r="E61" i="5" s="1"/>
  <c r="E63" i="5" s="1"/>
  <c r="E32" i="5" s="1"/>
  <c r="E35" i="5" s="1"/>
  <c r="E36" i="5" s="1"/>
  <c r="E70" i="5"/>
  <c r="E72" i="5" s="1"/>
  <c r="E39" i="5" s="1"/>
  <c r="C199" i="5"/>
  <c r="E269" i="5"/>
  <c r="E267" i="5" s="1"/>
  <c r="F268" i="5"/>
  <c r="F269" i="5" s="1"/>
  <c r="F267" i="5" s="1"/>
  <c r="D234" i="5"/>
  <c r="D263" i="5"/>
  <c r="C234" i="5"/>
  <c r="C263" i="5"/>
  <c r="B234" i="5"/>
  <c r="B263" i="5"/>
  <c r="G228" i="3"/>
  <c r="F310" i="3"/>
  <c r="D52" i="2"/>
  <c r="D62" i="2"/>
  <c r="D142" i="2"/>
  <c r="B314" i="2" s="1"/>
  <c r="E176" i="2"/>
  <c r="D47" i="2"/>
  <c r="B356" i="3" s="1"/>
  <c r="E81" i="1"/>
  <c r="E62" i="2"/>
  <c r="D176" i="2"/>
  <c r="D67" i="2"/>
  <c r="C96" i="3"/>
  <c r="B95" i="3"/>
  <c r="E60" i="1"/>
  <c r="D102" i="2"/>
  <c r="B368" i="3" s="1"/>
  <c r="D103" i="2"/>
  <c r="B369" i="3" s="1"/>
  <c r="D285" i="2"/>
  <c r="E285" i="2"/>
  <c r="D233" i="2"/>
  <c r="B243" i="2"/>
  <c r="B295" i="2"/>
  <c r="B71" i="3"/>
  <c r="B56" i="3"/>
  <c r="C295" i="2"/>
  <c r="G65" i="3"/>
  <c r="B159" i="3"/>
  <c r="E104" i="2"/>
  <c r="E105" i="2"/>
  <c r="E294" i="2"/>
  <c r="F294" i="2"/>
  <c r="E242" i="2"/>
  <c r="B240" i="3"/>
  <c r="C236" i="3"/>
  <c r="F120" i="5"/>
  <c r="G142" i="5"/>
  <c r="G144" i="5" s="1"/>
  <c r="F231" i="3"/>
  <c r="E311" i="3"/>
  <c r="H88" i="3"/>
  <c r="G87" i="3"/>
  <c r="B81" i="1"/>
  <c r="B62" i="2"/>
  <c r="B176" i="2"/>
  <c r="G176" i="2"/>
  <c r="D342" i="2"/>
  <c r="F26" i="2"/>
  <c r="D335" i="3" s="1"/>
  <c r="G88" i="1"/>
  <c r="G97" i="1"/>
  <c r="F69" i="2"/>
  <c r="F31" i="2"/>
  <c r="F24" i="2"/>
  <c r="D333" i="3" s="1"/>
  <c r="F29" i="2"/>
  <c r="F152" i="2"/>
  <c r="F186" i="2"/>
  <c r="D329" i="3" s="1"/>
  <c r="G92" i="1"/>
  <c r="F70" i="2"/>
  <c r="B235" i="3"/>
  <c r="G192" i="3"/>
  <c r="H192" i="3" s="1"/>
  <c r="D351" i="3"/>
  <c r="H219" i="3"/>
  <c r="G218" i="3"/>
  <c r="G308" i="3" s="1"/>
  <c r="F313" i="3"/>
  <c r="F102" i="4" s="1"/>
  <c r="G237" i="3"/>
  <c r="B42" i="2"/>
  <c r="B25" i="2"/>
  <c r="G267" i="2"/>
  <c r="B268" i="2"/>
  <c r="B154" i="1"/>
  <c r="B14" i="2" s="1"/>
  <c r="B30" i="2"/>
  <c r="B36" i="2"/>
  <c r="B41" i="2"/>
  <c r="B35" i="2"/>
  <c r="D55" i="3"/>
  <c r="D28" i="3"/>
  <c r="D29" i="3"/>
  <c r="D339" i="3"/>
  <c r="G307" i="2"/>
  <c r="F60" i="1"/>
  <c r="F295" i="2" s="1"/>
  <c r="C166" i="3"/>
  <c r="C158" i="3" s="1"/>
  <c r="D159" i="3"/>
  <c r="B339" i="3"/>
  <c r="B146" i="3"/>
  <c r="F299" i="3"/>
  <c r="G118" i="3"/>
  <c r="G299" i="3" s="1"/>
  <c r="D141" i="3"/>
  <c r="C141" i="3"/>
  <c r="B330" i="2"/>
  <c r="B351" i="3"/>
  <c r="D220" i="2"/>
  <c r="D222" i="2"/>
  <c r="D224" i="2"/>
  <c r="D226" i="2"/>
  <c r="D210" i="2"/>
  <c r="D212" i="2"/>
  <c r="D214" i="2"/>
  <c r="D223" i="2"/>
  <c r="D199" i="2"/>
  <c r="D230" i="2"/>
  <c r="D240" i="2"/>
  <c r="D232" i="2"/>
  <c r="E35" i="2"/>
  <c r="C344" i="3" s="1"/>
  <c r="D206" i="2"/>
  <c r="D209" i="2"/>
  <c r="D221" i="2"/>
  <c r="D208" i="2"/>
  <c r="D225" i="2"/>
  <c r="E154" i="1"/>
  <c r="E14" i="2" s="1"/>
  <c r="D234" i="2"/>
  <c r="D200" i="2"/>
  <c r="D237" i="2"/>
  <c r="E30" i="2"/>
  <c r="E25" i="2"/>
  <c r="C334" i="3" s="1"/>
  <c r="E41" i="2"/>
  <c r="B344" i="2"/>
  <c r="B349" i="2" s="1"/>
  <c r="D36" i="2"/>
  <c r="B345" i="3" s="1"/>
  <c r="E268" i="2"/>
  <c r="C330" i="3" s="1"/>
  <c r="D219" i="2"/>
  <c r="D229" i="2"/>
  <c r="D41" i="2"/>
  <c r="D241" i="2"/>
  <c r="D227" i="2"/>
  <c r="D238" i="2"/>
  <c r="D202" i="2"/>
  <c r="D215" i="2"/>
  <c r="D211" i="2"/>
  <c r="D201" i="2"/>
  <c r="D268" i="2"/>
  <c r="B330" i="3" s="1"/>
  <c r="E36" i="2"/>
  <c r="C345" i="3" s="1"/>
  <c r="D216" i="2"/>
  <c r="E42" i="2"/>
  <c r="D236" i="2"/>
  <c r="D231" i="2"/>
  <c r="D205" i="2"/>
  <c r="E31" i="2"/>
  <c r="D218" i="2"/>
  <c r="D228" i="2"/>
  <c r="D239" i="2"/>
  <c r="D25" i="2"/>
  <c r="B334" i="3" s="1"/>
  <c r="D204" i="2"/>
  <c r="D35" i="2"/>
  <c r="B344" i="3" s="1"/>
  <c r="D235" i="2"/>
  <c r="D203" i="2"/>
  <c r="E26" i="2"/>
  <c r="C335" i="3" s="1"/>
  <c r="G133" i="3"/>
  <c r="G286" i="3" s="1"/>
  <c r="G136" i="3"/>
  <c r="G287" i="3" s="1"/>
  <c r="C344" i="2"/>
  <c r="D243" i="3"/>
  <c r="D242" i="3"/>
  <c r="D242" i="2"/>
  <c r="C154" i="1"/>
  <c r="C14" i="2" s="1"/>
  <c r="E106" i="2"/>
  <c r="F34" i="5"/>
  <c r="F128" i="3" s="1"/>
  <c r="F127" i="3" s="1"/>
  <c r="H95" i="5"/>
  <c r="G96" i="5"/>
  <c r="G105" i="5" s="1"/>
  <c r="G67" i="5" s="1"/>
  <c r="F41" i="5"/>
  <c r="F206" i="5"/>
  <c r="F199" i="5"/>
  <c r="E388" i="2"/>
  <c r="G176" i="5"/>
  <c r="F24" i="5"/>
  <c r="F147" i="5"/>
  <c r="F59" i="5" s="1"/>
  <c r="E180" i="5"/>
  <c r="C90" i="3"/>
  <c r="C312" i="3" s="1"/>
  <c r="C314" i="3" s="1"/>
  <c r="F100" i="5"/>
  <c r="F57" i="5" s="1"/>
  <c r="G97" i="5"/>
  <c r="F105" i="5"/>
  <c r="F67" i="5" s="1"/>
  <c r="E219" i="5"/>
  <c r="E220" i="5" s="1"/>
  <c r="C72" i="3"/>
  <c r="C97" i="3"/>
  <c r="I223" i="5"/>
  <c r="H219" i="5"/>
  <c r="F219" i="5"/>
  <c r="G120" i="5"/>
  <c r="F223" i="5"/>
  <c r="E223" i="5"/>
  <c r="F123" i="5"/>
  <c r="F58" i="5" s="1"/>
  <c r="G219" i="5"/>
  <c r="H223" i="5"/>
  <c r="D200" i="5"/>
  <c r="B200" i="5"/>
  <c r="E33" i="5"/>
  <c r="G147" i="5"/>
  <c r="G59" i="5" s="1"/>
  <c r="G153" i="5"/>
  <c r="I148" i="5"/>
  <c r="I129" i="5"/>
  <c r="I128" i="5" s="1"/>
  <c r="I68" i="5" s="1"/>
  <c r="H128" i="5"/>
  <c r="H68" i="5" s="1"/>
  <c r="H120" i="5"/>
  <c r="I118" i="5"/>
  <c r="I120" i="5" s="1"/>
  <c r="G123" i="5"/>
  <c r="G58" i="5" s="1"/>
  <c r="H124" i="5"/>
  <c r="H101" i="5"/>
  <c r="G100" i="5"/>
  <c r="G57" i="5" s="1"/>
  <c r="H145" i="3"/>
  <c r="G292" i="3"/>
  <c r="C213" i="3"/>
  <c r="D197" i="3"/>
  <c r="C197" i="3"/>
  <c r="C143" i="3"/>
  <c r="C146" i="3"/>
  <c r="C175" i="3"/>
  <c r="F60" i="3"/>
  <c r="H163" i="3"/>
  <c r="H302" i="3" s="1"/>
  <c r="D193" i="3"/>
  <c r="C219" i="3"/>
  <c r="B226" i="3"/>
  <c r="D229" i="3"/>
  <c r="C137" i="3"/>
  <c r="C193" i="3"/>
  <c r="D232" i="3"/>
  <c r="C184" i="3"/>
  <c r="C116" i="3"/>
  <c r="D119" i="3"/>
  <c r="C211" i="3"/>
  <c r="D246" i="3"/>
  <c r="D181" i="3"/>
  <c r="D152" i="3"/>
  <c r="D205" i="3"/>
  <c r="D187" i="3"/>
  <c r="D134" i="3"/>
  <c r="D226" i="3"/>
  <c r="D202" i="3"/>
  <c r="D155" i="3"/>
  <c r="D137" i="3"/>
  <c r="D223" i="3"/>
  <c r="E223" i="3" s="1"/>
  <c r="F223" i="3" s="1"/>
  <c r="D116" i="3"/>
  <c r="D146" i="3"/>
  <c r="D158" i="3"/>
  <c r="D175" i="3"/>
  <c r="D122" i="3"/>
  <c r="D190" i="3"/>
  <c r="D211" i="3"/>
  <c r="D128" i="3"/>
  <c r="D164" i="3"/>
  <c r="D219" i="3"/>
  <c r="D196" i="3"/>
  <c r="D143" i="3"/>
  <c r="D140" i="3"/>
  <c r="D172" i="3"/>
  <c r="D244" i="3"/>
  <c r="D241" i="3"/>
  <c r="D167" i="3"/>
  <c r="D184" i="3"/>
  <c r="D161" i="3"/>
  <c r="D235" i="3"/>
  <c r="D125" i="3"/>
  <c r="D178" i="3"/>
  <c r="D149" i="3"/>
  <c r="D214" i="3"/>
  <c r="D131" i="3"/>
  <c r="D199" i="3"/>
  <c r="D208" i="3"/>
  <c r="J180" i="3"/>
  <c r="J183" i="3"/>
  <c r="J255" i="3"/>
  <c r="J204" i="3"/>
  <c r="B199" i="3" l="1"/>
  <c r="B219" i="3"/>
  <c r="B208" i="3"/>
  <c r="D88" i="1"/>
  <c r="C29" i="2"/>
  <c r="C26" i="2"/>
  <c r="D97" i="1"/>
  <c r="C70" i="2"/>
  <c r="C69" i="2"/>
  <c r="C152" i="2"/>
  <c r="C31" i="2"/>
  <c r="D92" i="1"/>
  <c r="C24" i="2"/>
  <c r="B122" i="3"/>
  <c r="B128" i="3"/>
  <c r="G154" i="1"/>
  <c r="B187" i="3"/>
  <c r="F243" i="2"/>
  <c r="C328" i="2"/>
  <c r="C349" i="3"/>
  <c r="B158" i="3"/>
  <c r="B131" i="3"/>
  <c r="B137" i="3"/>
  <c r="H186" i="3"/>
  <c r="B181" i="3"/>
  <c r="B125" i="3"/>
  <c r="B167" i="3"/>
  <c r="B172" i="3"/>
  <c r="B190" i="3"/>
  <c r="B184" i="3"/>
  <c r="B119" i="3"/>
  <c r="B164" i="3"/>
  <c r="B238" i="3"/>
  <c r="B161" i="3"/>
  <c r="B152" i="3"/>
  <c r="G296" i="3"/>
  <c r="H210" i="3"/>
  <c r="B205" i="3"/>
  <c r="B140" i="3"/>
  <c r="B155" i="3"/>
  <c r="B149" i="3"/>
  <c r="B223" i="3"/>
  <c r="B116" i="3"/>
  <c r="B134" i="3"/>
  <c r="B143" i="3"/>
  <c r="B112" i="2"/>
  <c r="B113" i="2" s="1"/>
  <c r="C143" i="1"/>
  <c r="B147" i="2"/>
  <c r="B108" i="2"/>
  <c r="B68" i="2"/>
  <c r="C86" i="1"/>
  <c r="C186" i="2" s="1"/>
  <c r="B107" i="2"/>
  <c r="B175" i="3"/>
  <c r="B196" i="3"/>
  <c r="H142" i="5"/>
  <c r="H147" i="5" s="1"/>
  <c r="H59" i="5" s="1"/>
  <c r="B214" i="3"/>
  <c r="B202" i="3"/>
  <c r="B211" i="3"/>
  <c r="B229" i="3"/>
  <c r="B193" i="3"/>
  <c r="C208" i="3"/>
  <c r="B178" i="3"/>
  <c r="C352" i="3"/>
  <c r="C325" i="2"/>
  <c r="C338" i="2" s="1"/>
  <c r="I255" i="4"/>
  <c r="E264" i="4"/>
  <c r="E255" i="4"/>
  <c r="F255" i="4"/>
  <c r="H255" i="4"/>
  <c r="C181" i="3"/>
  <c r="C226" i="3"/>
  <c r="C128" i="3"/>
  <c r="C164" i="3"/>
  <c r="C119" i="3"/>
  <c r="C134" i="3"/>
  <c r="C122" i="3"/>
  <c r="C238" i="3"/>
  <c r="C140" i="3"/>
  <c r="C161" i="3"/>
  <c r="D168" i="3"/>
  <c r="C223" i="3"/>
  <c r="C131" i="3"/>
  <c r="C205" i="3"/>
  <c r="C172" i="3"/>
  <c r="C187" i="3"/>
  <c r="C202" i="3"/>
  <c r="C167" i="3"/>
  <c r="C196" i="3"/>
  <c r="C155" i="3"/>
  <c r="I207" i="3"/>
  <c r="H295" i="3"/>
  <c r="C125" i="3"/>
  <c r="C232" i="3"/>
  <c r="C190" i="3"/>
  <c r="C235" i="3"/>
  <c r="C178" i="3"/>
  <c r="C214" i="3"/>
  <c r="C229" i="3"/>
  <c r="C241" i="3"/>
  <c r="C168" i="3"/>
  <c r="C149" i="3"/>
  <c r="G61" i="5"/>
  <c r="G63" i="5" s="1"/>
  <c r="G32" i="5" s="1"/>
  <c r="G31" i="3" s="1"/>
  <c r="F157" i="3"/>
  <c r="H142" i="3"/>
  <c r="H160" i="3"/>
  <c r="H49" i="3"/>
  <c r="G306" i="3"/>
  <c r="H177" i="3"/>
  <c r="E303" i="3"/>
  <c r="G300" i="3"/>
  <c r="G301" i="3"/>
  <c r="E50" i="5"/>
  <c r="E31" i="3"/>
  <c r="G76" i="5"/>
  <c r="G78" i="5" s="1"/>
  <c r="G46" i="5" s="1"/>
  <c r="F70" i="5"/>
  <c r="F72" i="5" s="1"/>
  <c r="F39" i="5" s="1"/>
  <c r="F61" i="5"/>
  <c r="F63" i="5" s="1"/>
  <c r="F32" i="5" s="1"/>
  <c r="F50" i="5" s="1"/>
  <c r="E81" i="5"/>
  <c r="E23" i="5"/>
  <c r="E122" i="3" s="1"/>
  <c r="E121" i="3" s="1"/>
  <c r="E283" i="3" s="1"/>
  <c r="E34" i="3"/>
  <c r="G268" i="5"/>
  <c r="H268" i="5"/>
  <c r="G269" i="5"/>
  <c r="G267" i="5" s="1"/>
  <c r="G310" i="3"/>
  <c r="H228" i="3"/>
  <c r="G34" i="5"/>
  <c r="G128" i="3" s="1"/>
  <c r="G127" i="3" s="1"/>
  <c r="C349" i="2"/>
  <c r="C350" i="2"/>
  <c r="C353" i="2" s="1"/>
  <c r="C355" i="2" s="1"/>
  <c r="C357" i="2" s="1"/>
  <c r="C329" i="2"/>
  <c r="C350" i="3"/>
  <c r="D71" i="3"/>
  <c r="D56" i="3"/>
  <c r="D57" i="3"/>
  <c r="D338" i="3"/>
  <c r="D317" i="2"/>
  <c r="D307" i="2"/>
  <c r="G113" i="1"/>
  <c r="F367" i="2"/>
  <c r="F371" i="2" s="1"/>
  <c r="F388" i="2" s="1"/>
  <c r="C242" i="3"/>
  <c r="B241" i="3"/>
  <c r="B243" i="3"/>
  <c r="B84" i="3"/>
  <c r="B72" i="3"/>
  <c r="D295" i="2"/>
  <c r="D243" i="2"/>
  <c r="C73" i="3"/>
  <c r="H133" i="3"/>
  <c r="H286" i="3" s="1"/>
  <c r="H218" i="3"/>
  <c r="H308" i="3" s="1"/>
  <c r="I219" i="3"/>
  <c r="I218" i="3" s="1"/>
  <c r="F191" i="2"/>
  <c r="F49" i="2"/>
  <c r="F74" i="2"/>
  <c r="F157" i="2"/>
  <c r="F73" i="2"/>
  <c r="F48" i="2"/>
  <c r="F53" i="2"/>
  <c r="F188" i="2"/>
  <c r="F37" i="2"/>
  <c r="D346" i="3" s="1"/>
  <c r="F154" i="2"/>
  <c r="F40" i="2"/>
  <c r="F58" i="2"/>
  <c r="F124" i="2"/>
  <c r="F57" i="2"/>
  <c r="G155" i="1"/>
  <c r="F43" i="2"/>
  <c r="F34" i="2"/>
  <c r="D343" i="3" s="1"/>
  <c r="B86" i="1"/>
  <c r="B181" i="2"/>
  <c r="B143" i="1"/>
  <c r="G181" i="2"/>
  <c r="G231" i="3"/>
  <c r="F311" i="3"/>
  <c r="F115" i="2"/>
  <c r="F116" i="2" s="1"/>
  <c r="H136" i="3"/>
  <c r="B329" i="2"/>
  <c r="B350" i="3"/>
  <c r="F307" i="2"/>
  <c r="C339" i="3"/>
  <c r="G313" i="3"/>
  <c r="G102" i="4" s="1"/>
  <c r="E303" i="2"/>
  <c r="D340" i="3"/>
  <c r="D181" i="2"/>
  <c r="D68" i="2"/>
  <c r="E86" i="1"/>
  <c r="D147" i="2"/>
  <c r="B315" i="2" s="1"/>
  <c r="B343" i="2"/>
  <c r="B352" i="2" s="1"/>
  <c r="E181" i="2"/>
  <c r="D108" i="2"/>
  <c r="D107" i="2"/>
  <c r="B370" i="3" s="1"/>
  <c r="E143" i="1"/>
  <c r="D112" i="2"/>
  <c r="D113" i="2" s="1"/>
  <c r="C340" i="3"/>
  <c r="D303" i="2"/>
  <c r="C351" i="3"/>
  <c r="C330" i="2"/>
  <c r="H118" i="3"/>
  <c r="H299" i="3" s="1"/>
  <c r="C152" i="3"/>
  <c r="C199" i="3"/>
  <c r="E295" i="2"/>
  <c r="E243" i="2"/>
  <c r="F154" i="1"/>
  <c r="F14" i="2" s="1"/>
  <c r="E115" i="2"/>
  <c r="E116" i="2" s="1"/>
  <c r="D348" i="2"/>
  <c r="D350" i="2"/>
  <c r="D353" i="2" s="1"/>
  <c r="D355" i="2" s="1"/>
  <c r="D357" i="2" s="1"/>
  <c r="H87" i="3"/>
  <c r="H237" i="3" s="1"/>
  <c r="I88" i="3"/>
  <c r="G41" i="5"/>
  <c r="H96" i="5"/>
  <c r="I95" i="5"/>
  <c r="H34" i="5"/>
  <c r="C315" i="3"/>
  <c r="C317" i="3" s="1"/>
  <c r="E182" i="5"/>
  <c r="E184" i="5" s="1"/>
  <c r="C98" i="3"/>
  <c r="E228" i="5"/>
  <c r="E212" i="5" s="1"/>
  <c r="E213" i="5" s="1"/>
  <c r="F47" i="5"/>
  <c r="H176" i="5"/>
  <c r="F180" i="5"/>
  <c r="F184" i="5" s="1"/>
  <c r="C91" i="3"/>
  <c r="F220" i="5"/>
  <c r="G220" i="5" s="1"/>
  <c r="H220" i="5" s="1"/>
  <c r="I219" i="5" s="1"/>
  <c r="I220" i="5" s="1"/>
  <c r="E42" i="5"/>
  <c r="E43" i="5" s="1"/>
  <c r="E40" i="5"/>
  <c r="E22" i="5"/>
  <c r="H153" i="5"/>
  <c r="G152" i="5"/>
  <c r="F285" i="3"/>
  <c r="I142" i="5"/>
  <c r="H144" i="5"/>
  <c r="H123" i="5"/>
  <c r="H58" i="5" s="1"/>
  <c r="I124" i="5"/>
  <c r="I123" i="5" s="1"/>
  <c r="I58" i="5" s="1"/>
  <c r="H100" i="5"/>
  <c r="H57" i="5" s="1"/>
  <c r="I101" i="5"/>
  <c r="I145" i="3"/>
  <c r="I49" i="3" s="1"/>
  <c r="J49" i="3" s="1"/>
  <c r="H292" i="3"/>
  <c r="I192" i="3"/>
  <c r="C243" i="3"/>
  <c r="C215" i="3"/>
  <c r="D215" i="3"/>
  <c r="I186" i="3"/>
  <c r="H290" i="3"/>
  <c r="G60" i="3"/>
  <c r="I163" i="3"/>
  <c r="J163" i="3" s="1"/>
  <c r="G223" i="3"/>
  <c r="D63" i="2" l="1"/>
  <c r="E63" i="2"/>
  <c r="C367" i="2"/>
  <c r="C371" i="2" s="1"/>
  <c r="C388" i="2" s="1"/>
  <c r="D113" i="1"/>
  <c r="B63" i="2"/>
  <c r="C92" i="1"/>
  <c r="B29" i="2"/>
  <c r="B70" i="2"/>
  <c r="C88" i="1"/>
  <c r="B152" i="2"/>
  <c r="B69" i="2"/>
  <c r="C97" i="1"/>
  <c r="B24" i="2"/>
  <c r="B26" i="2"/>
  <c r="B31" i="2"/>
  <c r="C63" i="2"/>
  <c r="C124" i="2"/>
  <c r="C53" i="2"/>
  <c r="C43" i="2"/>
  <c r="C40" i="2"/>
  <c r="C37" i="2"/>
  <c r="C58" i="2"/>
  <c r="D155" i="1"/>
  <c r="D15" i="2" s="1"/>
  <c r="C154" i="2"/>
  <c r="C34" i="2"/>
  <c r="C48" i="2"/>
  <c r="I210" i="3"/>
  <c r="H296" i="3"/>
  <c r="C157" i="2"/>
  <c r="C191" i="2"/>
  <c r="C49" i="2"/>
  <c r="C73" i="2"/>
  <c r="C74" i="2"/>
  <c r="E25" i="5"/>
  <c r="E274" i="5" s="1"/>
  <c r="E264" i="5" s="1"/>
  <c r="H128" i="3"/>
  <c r="H127" i="3" s="1"/>
  <c r="H285" i="3" s="1"/>
  <c r="I295" i="3"/>
  <c r="J207" i="3"/>
  <c r="J295" i="3" s="1"/>
  <c r="H61" i="5"/>
  <c r="H63" i="5" s="1"/>
  <c r="H32" i="5" s="1"/>
  <c r="H31" i="3" s="1"/>
  <c r="E215" i="5"/>
  <c r="E151" i="3"/>
  <c r="I160" i="3"/>
  <c r="I301" i="3" s="1"/>
  <c r="H65" i="3"/>
  <c r="I142" i="3"/>
  <c r="G157" i="3"/>
  <c r="G303" i="3" s="1"/>
  <c r="I302" i="3"/>
  <c r="H306" i="3"/>
  <c r="I177" i="3"/>
  <c r="H301" i="3"/>
  <c r="H300" i="3"/>
  <c r="F303" i="3"/>
  <c r="J302" i="3"/>
  <c r="G69" i="5"/>
  <c r="G70" i="5" s="1"/>
  <c r="G72" i="5" s="1"/>
  <c r="H76" i="5"/>
  <c r="H78" i="5" s="1"/>
  <c r="H46" i="5" s="1"/>
  <c r="H269" i="5"/>
  <c r="H267" i="5" s="1"/>
  <c r="F81" i="5"/>
  <c r="F40" i="5"/>
  <c r="F34" i="3"/>
  <c r="F35" i="5"/>
  <c r="F36" i="5" s="1"/>
  <c r="F31" i="3"/>
  <c r="I268" i="5"/>
  <c r="I269" i="5" s="1"/>
  <c r="I267" i="5" s="1"/>
  <c r="I228" i="3"/>
  <c r="H310" i="3"/>
  <c r="H313" i="3"/>
  <c r="I136" i="3"/>
  <c r="J136" i="3" s="1"/>
  <c r="J287" i="3" s="1"/>
  <c r="H102" i="4"/>
  <c r="I87" i="3"/>
  <c r="J87" i="3" s="1"/>
  <c r="D352" i="3"/>
  <c r="D325" i="2"/>
  <c r="D338" i="2" s="1"/>
  <c r="B97" i="3"/>
  <c r="B85" i="3"/>
  <c r="B90" i="3"/>
  <c r="C86" i="3"/>
  <c r="I133" i="3"/>
  <c r="J133" i="3" s="1"/>
  <c r="J286" i="3" s="1"/>
  <c r="B244" i="3"/>
  <c r="B246" i="3"/>
  <c r="F83" i="2"/>
  <c r="G134" i="1"/>
  <c r="G156" i="1" s="1"/>
  <c r="F106" i="2"/>
  <c r="D72" i="3"/>
  <c r="D84" i="3"/>
  <c r="D73" i="3"/>
  <c r="I118" i="3"/>
  <c r="J118" i="3" s="1"/>
  <c r="J299" i="3" s="1"/>
  <c r="E88" i="1"/>
  <c r="D29" i="2"/>
  <c r="D24" i="2"/>
  <c r="B333" i="3" s="1"/>
  <c r="B342" i="2"/>
  <c r="D70" i="2"/>
  <c r="E97" i="1"/>
  <c r="D26" i="2"/>
  <c r="B335" i="3" s="1"/>
  <c r="D69" i="2"/>
  <c r="D152" i="2"/>
  <c r="D31" i="2"/>
  <c r="E92" i="1"/>
  <c r="D186" i="2"/>
  <c r="B329" i="3" s="1"/>
  <c r="E186" i="2"/>
  <c r="C329" i="3" s="1"/>
  <c r="H287" i="3"/>
  <c r="G311" i="3"/>
  <c r="H231" i="3"/>
  <c r="B88" i="1"/>
  <c r="B97" i="1"/>
  <c r="B113" i="1" s="1"/>
  <c r="B134" i="1" s="1"/>
  <c r="B92" i="1"/>
  <c r="B186" i="2"/>
  <c r="G186" i="2"/>
  <c r="D349" i="3"/>
  <c r="D328" i="2"/>
  <c r="I308" i="3"/>
  <c r="J218" i="3"/>
  <c r="H41" i="5"/>
  <c r="H105" i="5"/>
  <c r="H67" i="5" s="1"/>
  <c r="H97" i="5"/>
  <c r="I96" i="5"/>
  <c r="F23" i="5"/>
  <c r="F122" i="3" s="1"/>
  <c r="F121" i="3" s="1"/>
  <c r="F283" i="3" s="1"/>
  <c r="I34" i="5"/>
  <c r="I128" i="3" s="1"/>
  <c r="E231" i="5"/>
  <c r="E230" i="5"/>
  <c r="E37" i="3"/>
  <c r="F211" i="5"/>
  <c r="I176" i="5"/>
  <c r="G24" i="5"/>
  <c r="G47" i="5"/>
  <c r="F42" i="5"/>
  <c r="F43" i="5" s="1"/>
  <c r="G180" i="5"/>
  <c r="G184" i="5" s="1"/>
  <c r="G35" i="5"/>
  <c r="F33" i="5"/>
  <c r="F22" i="5"/>
  <c r="I100" i="5"/>
  <c r="I57" i="5" s="1"/>
  <c r="G285" i="3"/>
  <c r="I153" i="5"/>
  <c r="I152" i="5" s="1"/>
  <c r="I69" i="5" s="1"/>
  <c r="H152" i="5"/>
  <c r="H69" i="5" s="1"/>
  <c r="G22" i="5"/>
  <c r="I144" i="5"/>
  <c r="I147" i="5"/>
  <c r="I59" i="5" s="1"/>
  <c r="G33" i="5"/>
  <c r="J145" i="3"/>
  <c r="I292" i="3"/>
  <c r="J192" i="3"/>
  <c r="J292" i="3" s="1"/>
  <c r="C245" i="3"/>
  <c r="D245" i="3"/>
  <c r="C246" i="3"/>
  <c r="C244" i="3"/>
  <c r="I290" i="3"/>
  <c r="J186" i="3"/>
  <c r="H60" i="3"/>
  <c r="H223" i="3"/>
  <c r="C188" i="2" l="1"/>
  <c r="B124" i="2"/>
  <c r="B154" i="2"/>
  <c r="B40" i="2"/>
  <c r="C155" i="1"/>
  <c r="C15" i="2" s="1"/>
  <c r="B34" i="2"/>
  <c r="B48" i="2"/>
  <c r="B53" i="2"/>
  <c r="B37" i="2"/>
  <c r="B43" i="2"/>
  <c r="B73" i="2"/>
  <c r="B49" i="2"/>
  <c r="B157" i="2"/>
  <c r="B74" i="2"/>
  <c r="I296" i="3"/>
  <c r="J210" i="3"/>
  <c r="J296" i="3" s="1"/>
  <c r="D134" i="1"/>
  <c r="D156" i="1" s="1"/>
  <c r="D16" i="2" s="1"/>
  <c r="C83" i="2"/>
  <c r="C106" i="2"/>
  <c r="C115" i="2"/>
  <c r="C116" i="2" s="1"/>
  <c r="C57" i="2"/>
  <c r="C113" i="1"/>
  <c r="B367" i="2"/>
  <c r="B371" i="2" s="1"/>
  <c r="B388" i="2" s="1"/>
  <c r="J308" i="3"/>
  <c r="F25" i="5"/>
  <c r="J142" i="3"/>
  <c r="J300" i="3" s="1"/>
  <c r="I65" i="3"/>
  <c r="J65" i="3" s="1"/>
  <c r="I300" i="3"/>
  <c r="I306" i="3"/>
  <c r="J177" i="3"/>
  <c r="J306" i="3" s="1"/>
  <c r="H157" i="3"/>
  <c r="H303" i="3" s="1"/>
  <c r="J160" i="3"/>
  <c r="J301" i="3" s="1"/>
  <c r="E281" i="3"/>
  <c r="G81" i="5"/>
  <c r="G39" i="5"/>
  <c r="H70" i="5"/>
  <c r="H72" i="5" s="1"/>
  <c r="I76" i="5"/>
  <c r="I78" i="5" s="1"/>
  <c r="I46" i="5" s="1"/>
  <c r="I24" i="5" s="1"/>
  <c r="I61" i="5"/>
  <c r="I63" i="5" s="1"/>
  <c r="I32" i="5" s="1"/>
  <c r="I31" i="3" s="1"/>
  <c r="G36" i="5"/>
  <c r="E24" i="3"/>
  <c r="E265" i="5"/>
  <c r="I310" i="3"/>
  <c r="J228" i="3"/>
  <c r="J310" i="3" s="1"/>
  <c r="I287" i="3"/>
  <c r="I286" i="3"/>
  <c r="B191" i="2"/>
  <c r="G191" i="2"/>
  <c r="D157" i="2"/>
  <c r="D49" i="2"/>
  <c r="D73" i="2"/>
  <c r="D74" i="2"/>
  <c r="D191" i="2"/>
  <c r="E191" i="2"/>
  <c r="C303" i="2"/>
  <c r="B340" i="3"/>
  <c r="E113" i="1"/>
  <c r="D367" i="2"/>
  <c r="D371" i="2" s="1"/>
  <c r="D388" i="2" s="1"/>
  <c r="B307" i="2"/>
  <c r="B317" i="2"/>
  <c r="B338" i="3"/>
  <c r="B91" i="3"/>
  <c r="C92" i="3"/>
  <c r="B155" i="1"/>
  <c r="B15" i="2" s="1"/>
  <c r="B57" i="2"/>
  <c r="B58" i="2"/>
  <c r="B188" i="2"/>
  <c r="G188" i="2"/>
  <c r="D57" i="2"/>
  <c r="D124" i="2"/>
  <c r="D37" i="2"/>
  <c r="B346" i="3" s="1"/>
  <c r="E57" i="2"/>
  <c r="E155" i="1"/>
  <c r="E15" i="2" s="1"/>
  <c r="E58" i="2"/>
  <c r="D43" i="2"/>
  <c r="D34" i="2"/>
  <c r="B343" i="3" s="1"/>
  <c r="D154" i="2"/>
  <c r="E188" i="2"/>
  <c r="D53" i="2"/>
  <c r="D40" i="2"/>
  <c r="D48" i="2"/>
  <c r="D58" i="2"/>
  <c r="D188" i="2"/>
  <c r="F274" i="5"/>
  <c r="F264" i="5" s="1"/>
  <c r="H311" i="3"/>
  <c r="I231" i="3"/>
  <c r="B350" i="2"/>
  <c r="B348" i="2"/>
  <c r="I299" i="3"/>
  <c r="D97" i="3"/>
  <c r="D86" i="3"/>
  <c r="D85" i="3"/>
  <c r="D90" i="3"/>
  <c r="D280" i="3"/>
  <c r="D297" i="3" s="1"/>
  <c r="B98" i="3"/>
  <c r="C99" i="3"/>
  <c r="I237" i="3"/>
  <c r="I313" i="3" s="1"/>
  <c r="I102" i="4" s="1"/>
  <c r="E26" i="5"/>
  <c r="E200" i="5"/>
  <c r="I41" i="5"/>
  <c r="I97" i="5"/>
  <c r="I105" i="5"/>
  <c r="E21" i="3"/>
  <c r="H24" i="5"/>
  <c r="H47" i="5"/>
  <c r="H180" i="5"/>
  <c r="H184" i="5" s="1"/>
  <c r="H33" i="5"/>
  <c r="I127" i="3"/>
  <c r="J127" i="3" s="1"/>
  <c r="J285" i="3" s="1"/>
  <c r="H22" i="5"/>
  <c r="H35" i="5"/>
  <c r="H36" i="5" s="1"/>
  <c r="J290" i="3"/>
  <c r="I60" i="3"/>
  <c r="I223" i="3"/>
  <c r="B115" i="2" l="1"/>
  <c r="B116" i="2" s="1"/>
  <c r="C134" i="1"/>
  <c r="C156" i="1" s="1"/>
  <c r="C16" i="2" s="1"/>
  <c r="B83" i="2"/>
  <c r="B106" i="2"/>
  <c r="I47" i="5"/>
  <c r="J237" i="3"/>
  <c r="J313" i="3" s="1"/>
  <c r="J102" i="4" s="1"/>
  <c r="I157" i="3"/>
  <c r="J157" i="3" s="1"/>
  <c r="J303" i="3" s="1"/>
  <c r="H81" i="5"/>
  <c r="H39" i="5"/>
  <c r="H42" i="5" s="1"/>
  <c r="H43" i="5" s="1"/>
  <c r="G50" i="5"/>
  <c r="G34" i="3"/>
  <c r="G23" i="5"/>
  <c r="G40" i="5"/>
  <c r="G42" i="5"/>
  <c r="G43" i="5" s="1"/>
  <c r="F21" i="3"/>
  <c r="F115" i="3" s="1"/>
  <c r="F200" i="5"/>
  <c r="I67" i="5"/>
  <c r="I70" i="5" s="1"/>
  <c r="I72" i="5" s="1"/>
  <c r="I39" i="5" s="1"/>
  <c r="I50" i="5" s="1"/>
  <c r="F26" i="5"/>
  <c r="E25" i="3"/>
  <c r="F24" i="3"/>
  <c r="F265" i="5"/>
  <c r="E124" i="3"/>
  <c r="E171" i="3" s="1"/>
  <c r="I42" i="5"/>
  <c r="B328" i="2"/>
  <c r="B349" i="3"/>
  <c r="E134" i="1"/>
  <c r="E156" i="1" s="1"/>
  <c r="E16" i="2" s="1"/>
  <c r="D83" i="2"/>
  <c r="D106" i="2"/>
  <c r="D115" i="2"/>
  <c r="D116" i="2" s="1"/>
  <c r="E359" i="3"/>
  <c r="E43" i="3"/>
  <c r="E22" i="3"/>
  <c r="E175" i="3" s="1"/>
  <c r="E174" i="3" s="1"/>
  <c r="E289" i="3" s="1"/>
  <c r="I180" i="5"/>
  <c r="I184" i="5" s="1"/>
  <c r="D91" i="3"/>
  <c r="D312" i="3"/>
  <c r="D314" i="3" s="1"/>
  <c r="D315" i="3" s="1"/>
  <c r="D317" i="3" s="1"/>
  <c r="D92" i="3"/>
  <c r="B325" i="2"/>
  <c r="B338" i="2" s="1"/>
  <c r="B352" i="3"/>
  <c r="I311" i="3"/>
  <c r="J231" i="3"/>
  <c r="J311" i="3" s="1"/>
  <c r="E46" i="3"/>
  <c r="E40" i="3"/>
  <c r="D98" i="3"/>
  <c r="D99" i="3"/>
  <c r="E361" i="3"/>
  <c r="B353" i="2"/>
  <c r="B355" i="2" s="1"/>
  <c r="B357" i="2"/>
  <c r="E115" i="3"/>
  <c r="E328" i="3"/>
  <c r="D224" i="5"/>
  <c r="I35" i="5"/>
  <c r="I36" i="5" s="1"/>
  <c r="I22" i="5"/>
  <c r="I33" i="5"/>
  <c r="F40" i="3"/>
  <c r="F22" i="3"/>
  <c r="F175" i="3" s="1"/>
  <c r="F359" i="3"/>
  <c r="I285" i="3"/>
  <c r="D225" i="5"/>
  <c r="H40" i="5" l="1"/>
  <c r="I40" i="5"/>
  <c r="I23" i="5"/>
  <c r="F328" i="3"/>
  <c r="F46" i="3"/>
  <c r="F43" i="3"/>
  <c r="F25" i="3"/>
  <c r="I303" i="3"/>
  <c r="F59" i="3"/>
  <c r="E59" i="3"/>
  <c r="F27" i="3"/>
  <c r="F355" i="3" s="1"/>
  <c r="E284" i="3"/>
  <c r="E139" i="3"/>
  <c r="I43" i="5"/>
  <c r="G122" i="3"/>
  <c r="G121" i="3" s="1"/>
  <c r="G283" i="3" s="1"/>
  <c r="G25" i="5"/>
  <c r="I81" i="5"/>
  <c r="I34" i="3"/>
  <c r="H50" i="5"/>
  <c r="H23" i="5"/>
  <c r="H34" i="3"/>
  <c r="E288" i="3"/>
  <c r="E360" i="3"/>
  <c r="E27" i="3"/>
  <c r="E29" i="3" s="1"/>
  <c r="E190" i="3"/>
  <c r="E189" i="3" s="1"/>
  <c r="E291" i="3" s="1"/>
  <c r="E202" i="3"/>
  <c r="E201" i="3" s="1"/>
  <c r="E294" i="3" s="1"/>
  <c r="F174" i="3"/>
  <c r="F289" i="3" s="1"/>
  <c r="F207" i="5"/>
  <c r="F208" i="5" s="1"/>
  <c r="F224" i="5"/>
  <c r="F228" i="5" s="1"/>
  <c r="F231" i="5" s="1"/>
  <c r="G224" i="5"/>
  <c r="I224" i="5"/>
  <c r="H224" i="5"/>
  <c r="I25" i="5"/>
  <c r="I274" i="5" s="1"/>
  <c r="I264" i="5" s="1"/>
  <c r="F202" i="3"/>
  <c r="F124" i="3"/>
  <c r="F190" i="3"/>
  <c r="G207" i="5"/>
  <c r="H225" i="5"/>
  <c r="G225" i="5"/>
  <c r="I225" i="5"/>
  <c r="F37" i="3" l="1"/>
  <c r="F55" i="3" s="1"/>
  <c r="F28" i="3"/>
  <c r="F360" i="3"/>
  <c r="F171" i="3"/>
  <c r="H25" i="5"/>
  <c r="I26" i="5" s="1"/>
  <c r="H122" i="3"/>
  <c r="H121" i="3" s="1"/>
  <c r="I122" i="3"/>
  <c r="G200" i="5"/>
  <c r="G274" i="5"/>
  <c r="G264" i="5" s="1"/>
  <c r="G21" i="3"/>
  <c r="G26" i="5"/>
  <c r="F212" i="5"/>
  <c r="F213" i="5" s="1"/>
  <c r="G211" i="5" s="1"/>
  <c r="F201" i="3"/>
  <c r="F294" i="3" s="1"/>
  <c r="I265" i="5"/>
  <c r="I24" i="3"/>
  <c r="E55" i="3"/>
  <c r="E355" i="3"/>
  <c r="E28" i="3"/>
  <c r="F29" i="3"/>
  <c r="F189" i="3"/>
  <c r="F291" i="3" s="1"/>
  <c r="E195" i="3"/>
  <c r="F230" i="5"/>
  <c r="F148" i="3"/>
  <c r="G199" i="5"/>
  <c r="I200" i="5"/>
  <c r="G228" i="5"/>
  <c r="G230" i="5" s="1"/>
  <c r="G206" i="5"/>
  <c r="G208" i="5" s="1"/>
  <c r="I21" i="3"/>
  <c r="I46" i="3" s="1"/>
  <c r="J46" i="3" s="1"/>
  <c r="F288" i="3"/>
  <c r="F284" i="3"/>
  <c r="F56" i="3"/>
  <c r="F356" i="3"/>
  <c r="F215" i="5" l="1"/>
  <c r="F151" i="3"/>
  <c r="F298" i="3"/>
  <c r="G24" i="3"/>
  <c r="G265" i="5"/>
  <c r="H274" i="5"/>
  <c r="H264" i="5" s="1"/>
  <c r="H26" i="5"/>
  <c r="H200" i="5"/>
  <c r="H21" i="3"/>
  <c r="G115" i="3"/>
  <c r="G46" i="3"/>
  <c r="G359" i="3"/>
  <c r="G328" i="3"/>
  <c r="G40" i="3"/>
  <c r="G22" i="3"/>
  <c r="G43" i="3"/>
  <c r="H283" i="3"/>
  <c r="I121" i="3"/>
  <c r="I359" i="3" s="1"/>
  <c r="I25" i="3"/>
  <c r="F57" i="3"/>
  <c r="E57" i="3"/>
  <c r="E56" i="3"/>
  <c r="E356" i="3"/>
  <c r="E365" i="3"/>
  <c r="E197" i="3"/>
  <c r="F361" i="3"/>
  <c r="G148" i="3"/>
  <c r="H199" i="5"/>
  <c r="G37" i="3"/>
  <c r="G231" i="5"/>
  <c r="G212" i="5"/>
  <c r="G213" i="5" s="1"/>
  <c r="G151" i="3" s="1"/>
  <c r="I43" i="3"/>
  <c r="J43" i="3" s="1"/>
  <c r="I207" i="5"/>
  <c r="I22" i="3"/>
  <c r="I175" i="3" s="1"/>
  <c r="J34" i="3"/>
  <c r="I328" i="3"/>
  <c r="J31" i="3"/>
  <c r="I115" i="3"/>
  <c r="J115" i="3" s="1"/>
  <c r="J21" i="3"/>
  <c r="J328" i="3" s="1"/>
  <c r="I40" i="3"/>
  <c r="J40" i="3" s="1"/>
  <c r="F195" i="3"/>
  <c r="H206" i="5"/>
  <c r="D226" i="5"/>
  <c r="H207" i="5"/>
  <c r="G361" i="3" l="1"/>
  <c r="G59" i="3"/>
  <c r="G298" i="3"/>
  <c r="G281" i="3"/>
  <c r="F281" i="3"/>
  <c r="G27" i="3"/>
  <c r="G28" i="3" s="1"/>
  <c r="H24" i="3"/>
  <c r="H265" i="5"/>
  <c r="G25" i="3"/>
  <c r="G124" i="3"/>
  <c r="G175" i="3"/>
  <c r="G174" i="3" s="1"/>
  <c r="G289" i="3" s="1"/>
  <c r="G202" i="3"/>
  <c r="G201" i="3" s="1"/>
  <c r="G294" i="3" s="1"/>
  <c r="G190" i="3"/>
  <c r="G189" i="3" s="1"/>
  <c r="G291" i="3" s="1"/>
  <c r="J121" i="3"/>
  <c r="J283" i="3" s="1"/>
  <c r="I283" i="3"/>
  <c r="H328" i="3"/>
  <c r="H359" i="3"/>
  <c r="H46" i="3"/>
  <c r="H43" i="3"/>
  <c r="H22" i="3"/>
  <c r="H115" i="3"/>
  <c r="I59" i="3" s="1"/>
  <c r="J59" i="3" s="1"/>
  <c r="H40" i="3"/>
  <c r="D227" i="5"/>
  <c r="I227" i="5" s="1"/>
  <c r="I190" i="3"/>
  <c r="I202" i="3"/>
  <c r="I124" i="3"/>
  <c r="J124" i="3" s="1"/>
  <c r="J284" i="3" s="1"/>
  <c r="J24" i="3"/>
  <c r="I27" i="3"/>
  <c r="E154" i="3"/>
  <c r="F197" i="3"/>
  <c r="F365" i="3"/>
  <c r="H208" i="5"/>
  <c r="H226" i="5"/>
  <c r="H228" i="5" s="1"/>
  <c r="I226" i="5"/>
  <c r="H211" i="5"/>
  <c r="G215" i="5"/>
  <c r="G55" i="3" l="1"/>
  <c r="G356" i="3" s="1"/>
  <c r="G355" i="3"/>
  <c r="H59" i="3"/>
  <c r="E293" i="3"/>
  <c r="E166" i="3"/>
  <c r="G29" i="3"/>
  <c r="G360" i="3"/>
  <c r="G171" i="3"/>
  <c r="J359" i="3"/>
  <c r="H25" i="3"/>
  <c r="H27" i="3"/>
  <c r="I29" i="3" s="1"/>
  <c r="H124" i="3"/>
  <c r="I284" i="3" s="1"/>
  <c r="H190" i="3"/>
  <c r="H189" i="3" s="1"/>
  <c r="H291" i="3" s="1"/>
  <c r="H202" i="3"/>
  <c r="H201" i="3" s="1"/>
  <c r="H294" i="3" s="1"/>
  <c r="H175" i="3"/>
  <c r="H174" i="3" s="1"/>
  <c r="G284" i="3"/>
  <c r="G57" i="3"/>
  <c r="G56" i="3"/>
  <c r="H148" i="3"/>
  <c r="I199" i="5"/>
  <c r="I228" i="5"/>
  <c r="I231" i="5" s="1"/>
  <c r="J27" i="3"/>
  <c r="J360" i="3"/>
  <c r="I28" i="3"/>
  <c r="I355" i="3"/>
  <c r="E305" i="3"/>
  <c r="F154" i="3"/>
  <c r="F130" i="3"/>
  <c r="I206" i="5"/>
  <c r="I208" i="5" s="1"/>
  <c r="I148" i="3" s="1"/>
  <c r="H212" i="5"/>
  <c r="H213" i="5" s="1"/>
  <c r="H151" i="3" s="1"/>
  <c r="H230" i="5"/>
  <c r="H37" i="3"/>
  <c r="H231" i="5"/>
  <c r="I361" i="3" l="1"/>
  <c r="H55" i="3"/>
  <c r="I201" i="3"/>
  <c r="I230" i="5"/>
  <c r="I189" i="3"/>
  <c r="H281" i="3"/>
  <c r="I298" i="3"/>
  <c r="H298" i="3"/>
  <c r="F293" i="3"/>
  <c r="I360" i="3"/>
  <c r="I171" i="3"/>
  <c r="H171" i="3"/>
  <c r="H360" i="3"/>
  <c r="H284" i="3"/>
  <c r="G288" i="3"/>
  <c r="G195" i="3"/>
  <c r="H289" i="3"/>
  <c r="I174" i="3"/>
  <c r="H28" i="3"/>
  <c r="H29" i="3"/>
  <c r="H355" i="3"/>
  <c r="G130" i="3"/>
  <c r="G154" i="3"/>
  <c r="H361" i="3"/>
  <c r="I212" i="5"/>
  <c r="I37" i="3"/>
  <c r="I55" i="3" s="1"/>
  <c r="J28" i="3"/>
  <c r="J355" i="3"/>
  <c r="F139" i="3"/>
  <c r="F364" i="3" s="1"/>
  <c r="E99" i="4"/>
  <c r="E251" i="4"/>
  <c r="F305" i="3"/>
  <c r="J148" i="3"/>
  <c r="J298" i="3" s="1"/>
  <c r="E141" i="3"/>
  <c r="E364" i="3"/>
  <c r="H356" i="3"/>
  <c r="H57" i="3"/>
  <c r="H56" i="3"/>
  <c r="I211" i="5"/>
  <c r="H215" i="5"/>
  <c r="G293" i="3" l="1"/>
  <c r="I294" i="3"/>
  <c r="J201" i="3"/>
  <c r="J294" i="3" s="1"/>
  <c r="I291" i="3"/>
  <c r="J189" i="3"/>
  <c r="J291" i="3" s="1"/>
  <c r="J174" i="3"/>
  <c r="J289" i="3" s="1"/>
  <c r="I289" i="3"/>
  <c r="G197" i="3"/>
  <c r="G365" i="3"/>
  <c r="H288" i="3"/>
  <c r="H195" i="3"/>
  <c r="J37" i="3"/>
  <c r="J55" i="3" s="1"/>
  <c r="F141" i="3"/>
  <c r="G139" i="3"/>
  <c r="G364" i="3" s="1"/>
  <c r="F166" i="3"/>
  <c r="F140" i="3" s="1"/>
  <c r="G305" i="3"/>
  <c r="F251" i="4"/>
  <c r="F99" i="4"/>
  <c r="J361" i="3"/>
  <c r="E330" i="3"/>
  <c r="E334" i="3"/>
  <c r="E168" i="3"/>
  <c r="E350" i="3"/>
  <c r="E196" i="3"/>
  <c r="E344" i="3"/>
  <c r="E167" i="3"/>
  <c r="E222" i="3"/>
  <c r="E339" i="3"/>
  <c r="E140" i="3"/>
  <c r="I56" i="3"/>
  <c r="I356" i="3"/>
  <c r="I57" i="3"/>
  <c r="I213" i="5"/>
  <c r="I215" i="5" l="1"/>
  <c r="I151" i="3"/>
  <c r="I281" i="3" s="1"/>
  <c r="H365" i="3"/>
  <c r="H197" i="3"/>
  <c r="J171" i="3"/>
  <c r="I288" i="3"/>
  <c r="I195" i="3"/>
  <c r="J356" i="3"/>
  <c r="J56" i="3"/>
  <c r="G166" i="3"/>
  <c r="G140" i="3" s="1"/>
  <c r="F344" i="3"/>
  <c r="F196" i="3"/>
  <c r="F350" i="3"/>
  <c r="F330" i="3"/>
  <c r="F334" i="3"/>
  <c r="F168" i="3"/>
  <c r="F339" i="3"/>
  <c r="F222" i="3"/>
  <c r="F71" i="4" s="1"/>
  <c r="F167" i="3"/>
  <c r="G141" i="3"/>
  <c r="H154" i="3"/>
  <c r="G251" i="4"/>
  <c r="G99" i="4"/>
  <c r="E309" i="3"/>
  <c r="E71" i="4"/>
  <c r="H130" i="3"/>
  <c r="J151" i="3"/>
  <c r="H305" i="3" l="1"/>
  <c r="H251" i="4" s="1"/>
  <c r="H293" i="3"/>
  <c r="J281" i="3"/>
  <c r="I197" i="3"/>
  <c r="I365" i="3"/>
  <c r="J288" i="3"/>
  <c r="J195" i="3"/>
  <c r="G167" i="3"/>
  <c r="G339" i="3"/>
  <c r="G330" i="3"/>
  <c r="G350" i="3"/>
  <c r="G344" i="3"/>
  <c r="G168" i="3"/>
  <c r="G222" i="3"/>
  <c r="G71" i="4" s="1"/>
  <c r="G196" i="3"/>
  <c r="G334" i="3"/>
  <c r="F309" i="3"/>
  <c r="I154" i="3"/>
  <c r="I305" i="3" s="1"/>
  <c r="H99" i="4"/>
  <c r="H139" i="3"/>
  <c r="I130" i="3"/>
  <c r="I293" i="3" l="1"/>
  <c r="J365" i="3"/>
  <c r="G309" i="3"/>
  <c r="J154" i="3"/>
  <c r="J305" i="3" s="1"/>
  <c r="J99" i="4" s="1"/>
  <c r="I251" i="4"/>
  <c r="I99" i="4"/>
  <c r="H364" i="3"/>
  <c r="H141" i="3"/>
  <c r="H166" i="3"/>
  <c r="H140" i="3" s="1"/>
  <c r="J130" i="3"/>
  <c r="I139" i="3"/>
  <c r="J293" i="3" l="1"/>
  <c r="J251" i="4"/>
  <c r="I141" i="3"/>
  <c r="I166" i="3"/>
  <c r="I364" i="3"/>
  <c r="J139" i="3"/>
  <c r="H344" i="3"/>
  <c r="H222" i="3"/>
  <c r="H334" i="3"/>
  <c r="H330" i="3"/>
  <c r="H196" i="3"/>
  <c r="H350" i="3"/>
  <c r="H168" i="3"/>
  <c r="H167" i="3"/>
  <c r="H339" i="3"/>
  <c r="H309" i="3" l="1"/>
  <c r="H71" i="4"/>
  <c r="J141" i="3"/>
  <c r="J166" i="3"/>
  <c r="J364" i="3"/>
  <c r="I330" i="3"/>
  <c r="I168" i="3"/>
  <c r="I196" i="3"/>
  <c r="I339" i="3"/>
  <c r="I334" i="3"/>
  <c r="I350" i="3"/>
  <c r="I167" i="3"/>
  <c r="I140" i="3"/>
  <c r="I222" i="3"/>
  <c r="I344" i="3"/>
  <c r="J222" i="3" l="1"/>
  <c r="J309" i="3" s="1"/>
  <c r="I71" i="4"/>
  <c r="I309" i="3"/>
  <c r="J168" i="3"/>
  <c r="J334" i="3"/>
  <c r="J344" i="3"/>
  <c r="J196" i="3"/>
  <c r="J330" i="3"/>
  <c r="J339" i="3"/>
  <c r="J140" i="3"/>
  <c r="J350" i="3"/>
  <c r="J167" i="3"/>
  <c r="E307" i="3" l="1"/>
  <c r="E100" i="4" s="1"/>
  <c r="F198" i="3"/>
  <c r="F307" i="3" s="1"/>
  <c r="E213" i="3"/>
  <c r="E368" i="3" s="1"/>
  <c r="E62" i="3"/>
  <c r="E71" i="3" s="1"/>
  <c r="E72" i="3" s="1"/>
  <c r="F100" i="4" l="1"/>
  <c r="G198" i="3"/>
  <c r="G62" i="3" s="1"/>
  <c r="E214" i="3"/>
  <c r="E370" i="3"/>
  <c r="E73" i="3"/>
  <c r="F62" i="3"/>
  <c r="F213" i="3"/>
  <c r="E215" i="3"/>
  <c r="E75" i="3"/>
  <c r="E84" i="3" s="1"/>
  <c r="E338" i="3" l="1"/>
  <c r="E335" i="3"/>
  <c r="E343" i="3"/>
  <c r="E86" i="3"/>
  <c r="E349" i="3"/>
  <c r="E90" i="3"/>
  <c r="E280" i="3"/>
  <c r="E297" i="3" s="1"/>
  <c r="E329" i="3"/>
  <c r="E85" i="3"/>
  <c r="E333" i="3"/>
  <c r="E97" i="3"/>
  <c r="E153" i="4" s="1"/>
  <c r="G71" i="3"/>
  <c r="E340" i="3"/>
  <c r="E247" i="4"/>
  <c r="F368" i="3"/>
  <c r="F215" i="3"/>
  <c r="F214" i="3"/>
  <c r="F71" i="3"/>
  <c r="G307" i="3"/>
  <c r="H198" i="3"/>
  <c r="G213" i="3"/>
  <c r="G100" i="4" l="1"/>
  <c r="E97" i="4"/>
  <c r="E246" i="4"/>
  <c r="I198" i="3"/>
  <c r="H307" i="3"/>
  <c r="H213" i="3"/>
  <c r="I62" i="3"/>
  <c r="G368" i="3"/>
  <c r="G215" i="3"/>
  <c r="G214" i="3"/>
  <c r="F75" i="3"/>
  <c r="F247" i="4" s="1"/>
  <c r="F370" i="3"/>
  <c r="F72" i="3"/>
  <c r="F73" i="3"/>
  <c r="G72" i="3"/>
  <c r="G370" i="3"/>
  <c r="G75" i="3"/>
  <c r="G247" i="4" s="1"/>
  <c r="G73" i="3"/>
  <c r="G340" i="3"/>
  <c r="E98" i="3"/>
  <c r="E99" i="3"/>
  <c r="E91" i="3"/>
  <c r="E92" i="3"/>
  <c r="E252" i="3"/>
  <c r="E258" i="3" s="1"/>
  <c r="E70" i="4" s="1"/>
  <c r="H62" i="3"/>
  <c r="E248" i="3" l="1"/>
  <c r="E266" i="3" s="1"/>
  <c r="E268" i="3" s="1"/>
  <c r="E72" i="4" s="1"/>
  <c r="E73" i="4" s="1"/>
  <c r="E76" i="4" s="1"/>
  <c r="G84" i="3"/>
  <c r="G333" i="3" s="1"/>
  <c r="F340" i="3"/>
  <c r="F338" i="3"/>
  <c r="F84" i="3"/>
  <c r="F343" i="3" s="1"/>
  <c r="G280" i="3"/>
  <c r="G297" i="3" s="1"/>
  <c r="G85" i="3"/>
  <c r="F335" i="3"/>
  <c r="J62" i="3"/>
  <c r="I71" i="3"/>
  <c r="H100" i="4"/>
  <c r="H71" i="3"/>
  <c r="E158" i="4"/>
  <c r="E161" i="4" s="1"/>
  <c r="E210" i="4"/>
  <c r="H214" i="3"/>
  <c r="H215" i="3"/>
  <c r="H368" i="3"/>
  <c r="I307" i="3"/>
  <c r="J198" i="3"/>
  <c r="I213" i="3"/>
  <c r="G338" i="3"/>
  <c r="F329" i="3" l="1"/>
  <c r="F86" i="3"/>
  <c r="F333" i="3"/>
  <c r="F90" i="3"/>
  <c r="F92" i="3" s="1"/>
  <c r="F280" i="3"/>
  <c r="F297" i="3" s="1"/>
  <c r="F246" i="4" s="1"/>
  <c r="F97" i="3"/>
  <c r="F349" i="3"/>
  <c r="F85" i="3"/>
  <c r="G90" i="3"/>
  <c r="G252" i="3" s="1"/>
  <c r="G258" i="3" s="1"/>
  <c r="G70" i="4" s="1"/>
  <c r="G97" i="3"/>
  <c r="G153" i="4" s="1"/>
  <c r="G349" i="3"/>
  <c r="G335" i="3"/>
  <c r="E225" i="3"/>
  <c r="G343" i="3"/>
  <c r="G86" i="3"/>
  <c r="G329" i="3"/>
  <c r="I100" i="4"/>
  <c r="J71" i="3"/>
  <c r="I215" i="3"/>
  <c r="I214" i="3"/>
  <c r="I368" i="3"/>
  <c r="J213" i="3"/>
  <c r="J307" i="3"/>
  <c r="E214" i="4"/>
  <c r="E215" i="4" s="1"/>
  <c r="E217" i="4" s="1"/>
  <c r="E220" i="4" s="1"/>
  <c r="H370" i="3"/>
  <c r="H73" i="3"/>
  <c r="H75" i="3"/>
  <c r="H247" i="4" s="1"/>
  <c r="H72" i="3"/>
  <c r="I370" i="3"/>
  <c r="I72" i="3"/>
  <c r="I75" i="3"/>
  <c r="I338" i="3" s="1"/>
  <c r="I73" i="3"/>
  <c r="F153" i="4"/>
  <c r="F98" i="3"/>
  <c r="G97" i="4"/>
  <c r="G246" i="4"/>
  <c r="G98" i="3" l="1"/>
  <c r="G99" i="3"/>
  <c r="G91" i="3"/>
  <c r="F252" i="3"/>
  <c r="F258" i="3" s="1"/>
  <c r="F70" i="4" s="1"/>
  <c r="F91" i="3"/>
  <c r="F99" i="3"/>
  <c r="F248" i="3"/>
  <c r="F266" i="3" s="1"/>
  <c r="F268" i="3" s="1"/>
  <c r="F72" i="4" s="1"/>
  <c r="F73" i="4" s="1"/>
  <c r="F76" i="4" s="1"/>
  <c r="G92" i="3"/>
  <c r="F97" i="4"/>
  <c r="E312" i="3"/>
  <c r="E314" i="3" s="1"/>
  <c r="E315" i="3" s="1"/>
  <c r="E234" i="3"/>
  <c r="F225" i="3"/>
  <c r="F312" i="3" s="1"/>
  <c r="F314" i="3" s="1"/>
  <c r="F315" i="3" s="1"/>
  <c r="H340" i="3"/>
  <c r="H84" i="3"/>
  <c r="H335" i="3" s="1"/>
  <c r="I84" i="3"/>
  <c r="I349" i="3" s="1"/>
  <c r="F210" i="4"/>
  <c r="J75" i="3"/>
  <c r="J247" i="4" s="1"/>
  <c r="I247" i="4"/>
  <c r="J100" i="4"/>
  <c r="J214" i="3"/>
  <c r="J368" i="3"/>
  <c r="G210" i="4"/>
  <c r="J370" i="3"/>
  <c r="J72" i="3"/>
  <c r="I340" i="3"/>
  <c r="H338" i="3"/>
  <c r="G248" i="3" l="1"/>
  <c r="G266" i="3" s="1"/>
  <c r="G268" i="3" s="1"/>
  <c r="G72" i="4" s="1"/>
  <c r="G73" i="4" s="1"/>
  <c r="G76" i="4" s="1"/>
  <c r="H97" i="3"/>
  <c r="H280" i="3"/>
  <c r="H297" i="3" s="1"/>
  <c r="H329" i="3"/>
  <c r="H349" i="3"/>
  <c r="I335" i="3"/>
  <c r="H343" i="3"/>
  <c r="H333" i="3"/>
  <c r="I333" i="3"/>
  <c r="H85" i="3"/>
  <c r="F234" i="3"/>
  <c r="F236" i="3" s="1"/>
  <c r="H90" i="3"/>
  <c r="H92" i="3" s="1"/>
  <c r="I90" i="3"/>
  <c r="H86" i="3"/>
  <c r="I329" i="3"/>
  <c r="E351" i="3"/>
  <c r="F155" i="4"/>
  <c r="E352" i="3"/>
  <c r="E236" i="3"/>
  <c r="E369" i="3"/>
  <c r="E235" i="3"/>
  <c r="E345" i="3"/>
  <c r="E240" i="3"/>
  <c r="E346" i="3"/>
  <c r="I86" i="3"/>
  <c r="E317" i="3"/>
  <c r="E98" i="4"/>
  <c r="E249" i="4"/>
  <c r="E250" i="4" s="1"/>
  <c r="E253" i="4" s="1"/>
  <c r="E256" i="4" s="1"/>
  <c r="J340" i="3"/>
  <c r="J338" i="3"/>
  <c r="J84" i="3"/>
  <c r="J333" i="3" s="1"/>
  <c r="I280" i="3"/>
  <c r="I297" i="3" s="1"/>
  <c r="I97" i="4" s="1"/>
  <c r="I343" i="3"/>
  <c r="I97" i="3"/>
  <c r="I99" i="3" s="1"/>
  <c r="I85" i="3"/>
  <c r="F345" i="3"/>
  <c r="H97" i="4"/>
  <c r="H246" i="4"/>
  <c r="F317" i="3"/>
  <c r="F98" i="4"/>
  <c r="F103" i="4" s="1"/>
  <c r="F106" i="4" s="1"/>
  <c r="F249" i="4"/>
  <c r="F250" i="4" s="1"/>
  <c r="F253" i="4" s="1"/>
  <c r="F256" i="4" s="1"/>
  <c r="H98" i="3"/>
  <c r="H153" i="4"/>
  <c r="H99" i="3"/>
  <c r="I91" i="3"/>
  <c r="I252" i="3"/>
  <c r="G225" i="3"/>
  <c r="F346" i="3" l="1"/>
  <c r="F369" i="3"/>
  <c r="F235" i="3"/>
  <c r="F352" i="3"/>
  <c r="F351" i="3"/>
  <c r="F240" i="3"/>
  <c r="G155" i="4"/>
  <c r="G157" i="4" s="1"/>
  <c r="G158" i="4" s="1"/>
  <c r="G161" i="4" s="1"/>
  <c r="I92" i="3"/>
  <c r="I246" i="4"/>
  <c r="H252" i="3"/>
  <c r="H258" i="3" s="1"/>
  <c r="H70" i="4" s="1"/>
  <c r="H91" i="3"/>
  <c r="E103" i="4"/>
  <c r="E106" i="4" s="1"/>
  <c r="L91" i="4"/>
  <c r="I153" i="4"/>
  <c r="I210" i="4" s="1"/>
  <c r="M91" i="4"/>
  <c r="I98" i="3"/>
  <c r="J85" i="3"/>
  <c r="F157" i="4"/>
  <c r="F158" i="4" s="1"/>
  <c r="F161" i="4" s="1"/>
  <c r="F212" i="4"/>
  <c r="E242" i="3"/>
  <c r="E241" i="3"/>
  <c r="E243" i="3"/>
  <c r="J280" i="3"/>
  <c r="J297" i="3" s="1"/>
  <c r="J246" i="4" s="1"/>
  <c r="J86" i="3"/>
  <c r="J329" i="3"/>
  <c r="J349" i="3"/>
  <c r="J97" i="3"/>
  <c r="J153" i="4" s="1"/>
  <c r="J90" i="3"/>
  <c r="J91" i="3" s="1"/>
  <c r="J343" i="3"/>
  <c r="J335" i="3"/>
  <c r="J252" i="3"/>
  <c r="J258" i="3" s="1"/>
  <c r="I258" i="3"/>
  <c r="I70" i="4" s="1"/>
  <c r="F242" i="3"/>
  <c r="F241" i="3"/>
  <c r="F243" i="3"/>
  <c r="H210" i="4"/>
  <c r="G312" i="3"/>
  <c r="G314" i="3" s="1"/>
  <c r="G315" i="3" s="1"/>
  <c r="G234" i="3"/>
  <c r="G212" i="4" l="1"/>
  <c r="H248" i="3"/>
  <c r="H266" i="3" s="1"/>
  <c r="H268" i="3" s="1"/>
  <c r="H72" i="4" s="1"/>
  <c r="H73" i="4" s="1"/>
  <c r="H76" i="4" s="1"/>
  <c r="J98" i="3"/>
  <c r="J92" i="3"/>
  <c r="J97" i="4"/>
  <c r="F216" i="4"/>
  <c r="F214" i="4"/>
  <c r="F215" i="4" s="1"/>
  <c r="J99" i="3"/>
  <c r="E244" i="3"/>
  <c r="E245" i="3"/>
  <c r="E246" i="3"/>
  <c r="G216" i="4"/>
  <c r="G214" i="4"/>
  <c r="G215" i="4" s="1"/>
  <c r="G317" i="3"/>
  <c r="G249" i="4"/>
  <c r="G250" i="4" s="1"/>
  <c r="G253" i="4" s="1"/>
  <c r="G256" i="4" s="1"/>
  <c r="G98" i="4"/>
  <c r="J210" i="4"/>
  <c r="G351" i="3"/>
  <c r="G236" i="3"/>
  <c r="H155" i="4"/>
  <c r="G240" i="3"/>
  <c r="G235" i="3"/>
  <c r="G345" i="3"/>
  <c r="G369" i="3"/>
  <c r="G352" i="3"/>
  <c r="G346" i="3"/>
  <c r="F246" i="3"/>
  <c r="F244" i="3"/>
  <c r="F245" i="3"/>
  <c r="H225" i="3"/>
  <c r="G103" i="4" l="1"/>
  <c r="G106" i="4" s="1"/>
  <c r="N91" i="4"/>
  <c r="F217" i="4"/>
  <c r="F220" i="4" s="1"/>
  <c r="G217" i="4"/>
  <c r="G220" i="4" s="1"/>
  <c r="H212" i="4"/>
  <c r="H157" i="4"/>
  <c r="H158" i="4" s="1"/>
  <c r="H161" i="4" s="1"/>
  <c r="H234" i="3"/>
  <c r="H312" i="3"/>
  <c r="H314" i="3" s="1"/>
  <c r="H315" i="3" s="1"/>
  <c r="I248" i="3"/>
  <c r="I266" i="3" s="1"/>
  <c r="I268" i="3" s="1"/>
  <c r="I72" i="4" s="1"/>
  <c r="I73" i="4" s="1"/>
  <c r="I76" i="4" s="1"/>
  <c r="E77" i="4" s="1"/>
  <c r="G241" i="3"/>
  <c r="G242" i="3"/>
  <c r="G243" i="3"/>
  <c r="G245" i="3" l="1"/>
  <c r="G246" i="3"/>
  <c r="G244" i="3"/>
  <c r="H235" i="3"/>
  <c r="H351" i="3"/>
  <c r="H240" i="3"/>
  <c r="H236" i="3"/>
  <c r="H345" i="3"/>
  <c r="I155" i="4"/>
  <c r="H369" i="3"/>
  <c r="H346" i="3"/>
  <c r="H352" i="3"/>
  <c r="H216" i="4"/>
  <c r="H214" i="4"/>
  <c r="H215" i="4" s="1"/>
  <c r="I225" i="3"/>
  <c r="H249" i="4"/>
  <c r="H250" i="4" s="1"/>
  <c r="H253" i="4" s="1"/>
  <c r="H256" i="4" s="1"/>
  <c r="H98" i="4"/>
  <c r="H317" i="3"/>
  <c r="H103" i="4" l="1"/>
  <c r="H106" i="4" s="1"/>
  <c r="O91" i="4"/>
  <c r="I312" i="3"/>
  <c r="I314" i="3" s="1"/>
  <c r="I315" i="3" s="1"/>
  <c r="I234" i="3"/>
  <c r="J248" i="3"/>
  <c r="J266" i="3" s="1"/>
  <c r="J268" i="3" s="1"/>
  <c r="J225" i="3" s="1"/>
  <c r="I157" i="4"/>
  <c r="I158" i="4" s="1"/>
  <c r="I161" i="4" s="1"/>
  <c r="E162" i="4" s="1"/>
  <c r="I212" i="4"/>
  <c r="H241" i="3"/>
  <c r="H242" i="3"/>
  <c r="H243" i="3"/>
  <c r="H217" i="4"/>
  <c r="H220" i="4" s="1"/>
  <c r="H244" i="3" l="1"/>
  <c r="H245" i="3"/>
  <c r="H246" i="3"/>
  <c r="J312" i="3"/>
  <c r="J314" i="3" s="1"/>
  <c r="J315" i="3" s="1"/>
  <c r="J234" i="3"/>
  <c r="J73" i="4"/>
  <c r="E78" i="4" s="1"/>
  <c r="E79" i="4" s="1"/>
  <c r="E81" i="4" s="1"/>
  <c r="E83" i="4" s="1"/>
  <c r="I317" i="3"/>
  <c r="I98" i="4"/>
  <c r="I249" i="4"/>
  <c r="I250" i="4" s="1"/>
  <c r="I253" i="4" s="1"/>
  <c r="I256" i="4" s="1"/>
  <c r="E257" i="4" s="1"/>
  <c r="I216" i="4"/>
  <c r="I214" i="4"/>
  <c r="I215" i="4" s="1"/>
  <c r="I236" i="3"/>
  <c r="I351" i="3"/>
  <c r="I235" i="3"/>
  <c r="I345" i="3"/>
  <c r="I240" i="3"/>
  <c r="J155" i="4"/>
  <c r="I369" i="3"/>
  <c r="I346" i="3"/>
  <c r="I352" i="3"/>
  <c r="I103" i="4" l="1"/>
  <c r="I106" i="4" s="1"/>
  <c r="E107" i="4" s="1"/>
  <c r="P91" i="4"/>
  <c r="J212" i="4"/>
  <c r="J157" i="4"/>
  <c r="J158" i="4" s="1"/>
  <c r="J236" i="3"/>
  <c r="J240" i="3"/>
  <c r="J243" i="3" s="1"/>
  <c r="J345" i="3"/>
  <c r="J351" i="3"/>
  <c r="J369" i="3"/>
  <c r="J352" i="3"/>
  <c r="J346" i="3"/>
  <c r="I217" i="4"/>
  <c r="I220" i="4" s="1"/>
  <c r="E221" i="4" s="1"/>
  <c r="I241" i="3"/>
  <c r="I242" i="3"/>
  <c r="I243" i="3"/>
  <c r="F9" i="4"/>
  <c r="E86" i="4"/>
  <c r="J317" i="3"/>
  <c r="J249" i="4"/>
  <c r="J250" i="4" s="1"/>
  <c r="J253" i="4" s="1"/>
  <c r="J98" i="4"/>
  <c r="E258" i="4" l="1"/>
  <c r="E259" i="4" s="1"/>
  <c r="E263" i="4" s="1"/>
  <c r="E265" i="4" s="1"/>
  <c r="E267" i="4" s="1"/>
  <c r="E270" i="4" s="1"/>
  <c r="J103" i="4"/>
  <c r="E108" i="4" s="1"/>
  <c r="E109" i="4" s="1"/>
  <c r="E111" i="4" s="1"/>
  <c r="E113" i="4" s="1"/>
  <c r="Q91" i="4"/>
  <c r="E163" i="4"/>
  <c r="E164" i="4" s="1"/>
  <c r="E166" i="4" s="1"/>
  <c r="E168" i="4" s="1"/>
  <c r="E170" i="4" s="1"/>
  <c r="F11" i="4" s="1"/>
  <c r="J216" i="4"/>
  <c r="J214" i="4"/>
  <c r="J215" i="4" s="1"/>
  <c r="J217" i="4" s="1"/>
  <c r="E222" i="4" s="1"/>
  <c r="E223" i="4" s="1"/>
  <c r="E225" i="4" s="1"/>
  <c r="E227" i="4" s="1"/>
  <c r="E229" i="4" s="1"/>
  <c r="E231" i="4" s="1"/>
  <c r="I244" i="3"/>
  <c r="I246" i="3"/>
  <c r="I245" i="3"/>
  <c r="J244" i="3"/>
  <c r="J246" i="3"/>
  <c r="J245" i="3"/>
  <c r="F13" i="4" l="1"/>
  <c r="E116" i="4"/>
  <c r="F10" i="4"/>
  <c r="U90" i="4"/>
  <c r="B127" i="4"/>
  <c r="E173" i="4"/>
  <c r="B184" i="4"/>
  <c r="E234" i="4"/>
  <c r="F1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Sarah Leonard</author>
  </authors>
  <commentList>
    <comment ref="A359" authorId="0" shapeId="0" xr:uid="{00000000-0006-0000-0200-000001000000}">
      <text>
        <r>
          <rPr>
            <sz val="8"/>
            <color indexed="81"/>
            <rFont val="Tahoma"/>
            <family val="2"/>
          </rPr>
          <t xml:space="preserve">Accounts Receivable Turnover
</t>
        </r>
      </text>
    </comment>
    <comment ref="A360" authorId="0" shapeId="0" xr:uid="{00000000-0006-0000-0200-000002000000}">
      <text>
        <r>
          <rPr>
            <sz val="8"/>
            <color indexed="81"/>
            <rFont val="Tahoma"/>
            <family val="2"/>
          </rPr>
          <t>Inventory Turnover</t>
        </r>
      </text>
    </comment>
    <comment ref="A361" authorId="0" shapeId="0" xr:uid="{00000000-0006-0000-0200-000003000000}">
      <text>
        <r>
          <rPr>
            <sz val="8"/>
            <color indexed="81"/>
            <rFont val="Tahoma"/>
            <family val="2"/>
          </rPr>
          <t>Fixed Asset Turnover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Jim Wahlen</author>
  </authors>
  <commentList>
    <comment ref="D124" authorId="0" shapeId="0" xr:uid="{00000000-0006-0000-0300-000001000000}">
      <text>
        <r>
          <rPr>
            <b/>
            <sz val="8"/>
            <color indexed="81"/>
            <rFont val="Tahoma"/>
            <family val="2"/>
          </rPr>
          <t>Jim Wahlen:</t>
        </r>
        <r>
          <rPr>
            <sz val="8"/>
            <color indexed="81"/>
            <rFont val="Tahoma"/>
            <family val="2"/>
          </rPr>
          <t xml:space="preserve">
Includes 1009 stores from Japan acqusition, which generated sales for 11 months of 2015.</t>
        </r>
      </text>
    </comment>
    <comment ref="D129" authorId="0" shapeId="0" xr:uid="{00000000-0006-0000-0300-000002000000}">
      <text>
        <r>
          <rPr>
            <b/>
            <sz val="8"/>
            <color indexed="81"/>
            <rFont val="Tahoma"/>
            <family val="2"/>
          </rPr>
          <t>Jim Wahlen:</t>
        </r>
        <r>
          <rPr>
            <sz val="8"/>
            <color indexed="81"/>
            <rFont val="Tahoma"/>
            <family val="2"/>
          </rPr>
          <t xml:space="preserve">
Removes 1009 stores involved in Japan acqusition, which generated licensed revenues for only 1 month in 2015. </t>
        </r>
      </text>
    </comment>
  </commentList>
</comments>
</file>

<file path=xl/sharedStrings.xml><?xml version="1.0" encoding="utf-8"?>
<sst xmlns="http://schemas.openxmlformats.org/spreadsheetml/2006/main" count="1336" uniqueCount="899">
  <si>
    <t xml:space="preserve">For long-run forecast amounts, the FSAP user needs to enter a long-run growth rate assumption. FSAP will automatically use that growth rate to compute forecast amounts for all of the accounts for Year +6 and beyond.  The FSAP user should not alter the specific forecast computations for any of the accounts for Year +6 and beyond. The FSAP user must be sure to enter the same long run growth rate assumption as a valuation parameter in the Valuation spreadsheet. </t>
  </si>
  <si>
    <t xml:space="preserve">This worksheet allows the FSAP user to build forecasts of future income statements, balance sheets, and statements of cash flows. FSAP automatically enters data from the DATA spreadsheet for the most recent three years in columns B, C, and D.  This worksheet allows the user flexibility to compute forecast amounts for each income statement and balance sheet account. For each account, the user should enter the forecast computations in the first row (highlighted in green with bold blue font). In the second row for each account, the user can enter forecast assumption parameters (such as growth rates or percentages) to be used in the forecast computations. In the third row for each account, the user can enter a brief explanatory note to explain the forecast assumptions.  The FSAP user can also develop more detailed computations of forecast amounts in the Forecast Development worksheet, and incorporate those forecast amounts by referencing them here in the Forecasts worksheet. </t>
  </si>
  <si>
    <t xml:space="preserve">Income Statement Default Assumptions: </t>
  </si>
  <si>
    <t>The FSAP Forecasts worksheet defaults to assume that each income statement line item will remain the same percent of total revenues as in the most current year.  The FSAP user must either accept this default as a reasonable expectation or override it and enter more reasonable forecast assumptions.</t>
  </si>
  <si>
    <t xml:space="preserve">Balance Sheet Default Assumptions: </t>
  </si>
  <si>
    <t xml:space="preserve">The FSAP Forecasts worksheet defaults to assume that each balance sheet item (except retained earnngs) will remain the same percent of total assets as in the most current year.  The FSAP user must either accept this default as a reasonable expectation or override it and enter more reasonable forecast assumptions.  </t>
  </si>
  <si>
    <t>Implied Statements of Cash Flows:</t>
  </si>
  <si>
    <t>Forecast Validity Checks:</t>
  </si>
  <si>
    <t xml:space="preserve">FSAP computes these ratios using the forecast amounts above. The FSAP user can evaluate these ratios to assess whether forecast assumptions are reasonable or not. </t>
  </si>
  <si>
    <t xml:space="preserve">  - build forecasts of capital expenditures, property, plant and equipment, depreciation expense, and accumulated depreciation.</t>
  </si>
  <si>
    <t>Forecast Development:</t>
  </si>
  <si>
    <t xml:space="preserve">Check Figure: </t>
  </si>
  <si>
    <t>Net change in cash - Change in cash balance</t>
  </si>
  <si>
    <t>FORECAST VALIDITY CHECK DATA:</t>
  </si>
  <si>
    <t>Net Income Growth Rates:</t>
  </si>
  <si>
    <t>Total Asset Growth Rates</t>
  </si>
  <si>
    <t>Total Liabilities / Total Equity</t>
  </si>
  <si>
    <t>Revenues</t>
  </si>
  <si>
    <t>Year</t>
  </si>
  <si>
    <t>COMMON SIZE BALANCE SHEET - AS A PERCENT OF TOTAL ASSETS</t>
  </si>
  <si>
    <t>INCOME STATEMENT ITEMS: GROWTH RATES</t>
  </si>
  <si>
    <t>BALANCE SHEET ITEMS: GROWTH RATES</t>
  </si>
  <si>
    <t>Explain assumptions</t>
  </si>
  <si>
    <t>Year +6 and beyond:</t>
  </si>
  <si>
    <t>Long-Run Growth Rate:</t>
  </si>
  <si>
    <t>Common Size Percentage</t>
  </si>
  <si>
    <t>Rate of Change Percentage</t>
  </si>
  <si>
    <t>FINANCIAL STATEMENT FORECASTS</t>
  </si>
  <si>
    <t>Revenue Growth Rates:</t>
  </si>
  <si>
    <t>Gross Profit / Revenues</t>
  </si>
  <si>
    <t>Revenues / Avg. Accounts Receivable</t>
  </si>
  <si>
    <t>Revenues / Average Fixed Assets</t>
  </si>
  <si>
    <t>Revenues / Average Net Fixed Assets</t>
  </si>
  <si>
    <t>INCOME STATEMENT ITEMS AS A PERCENT OF REVENUES:</t>
  </si>
  <si>
    <t>Effects of exchange rate changes on cash</t>
  </si>
  <si>
    <t>Stock Returns</t>
  </si>
  <si>
    <t>In the computations below, a #DIV/0! message indicates that a ratio denominator is zero.</t>
  </si>
  <si>
    <t>Enter preferred stock dividend payments, if any.</t>
  </si>
  <si>
    <t>Total dividend forecast amounts.</t>
  </si>
  <si>
    <t>Dividends forecasts:</t>
  </si>
  <si>
    <t>Initial adjustment needed to balance the balance sheet:</t>
  </si>
  <si>
    <t xml:space="preserve"> </t>
  </si>
  <si>
    <t>VALUATION PARAMETER ASSUMPTIONS</t>
  </si>
  <si>
    <t>COST OF EQUITY CAPITAL:</t>
  </si>
  <si>
    <t>Debt capital</t>
  </si>
  <si>
    <t>Market risk premium</t>
  </si>
  <si>
    <t>Effective tax rate</t>
  </si>
  <si>
    <t>Required rate of return on common equity:</t>
  </si>
  <si>
    <t>COST OF PREFERRED STOCK</t>
  </si>
  <si>
    <t>Current share price</t>
  </si>
  <si>
    <t>WEIGHTED AVERAGE COST OF CAPITAL</t>
  </si>
  <si>
    <t>Weight of equity in capital structure</t>
  </si>
  <si>
    <t>Weight of debt in capital structure</t>
  </si>
  <si>
    <t>Weight of preferred in capital structure</t>
  </si>
  <si>
    <t>Weighted average cost of capital</t>
  </si>
  <si>
    <t>Continuing</t>
  </si>
  <si>
    <t>Value</t>
  </si>
  <si>
    <t>Net Cash Flow from Operations</t>
  </si>
  <si>
    <t>Add back: Interest Expense after tax</t>
  </si>
  <si>
    <t>Subtract: Interest Income after tax</t>
  </si>
  <si>
    <t>Free Cash Flow from Operations</t>
  </si>
  <si>
    <t>Net Cash Flow from Investing</t>
  </si>
  <si>
    <t>Present Value Factors</t>
  </si>
  <si>
    <t>Adjust to midyear discounting</t>
  </si>
  <si>
    <t>Shares Outstanding</t>
  </si>
  <si>
    <t>Estimated Value per Share</t>
  </si>
  <si>
    <t xml:space="preserve">Percent difference </t>
  </si>
  <si>
    <t>(Value/price)-1: positive number indicates underpricing.</t>
  </si>
  <si>
    <t>Net CFs from Debt Financing</t>
  </si>
  <si>
    <t>Net CFs into Financial Assets</t>
  </si>
  <si>
    <t>Free Cash Flow for Common Equity</t>
  </si>
  <si>
    <t>Total</t>
  </si>
  <si>
    <t>Long-Run Growth Assumptions</t>
  </si>
  <si>
    <t>Discount</t>
  </si>
  <si>
    <t>Rates:</t>
  </si>
  <si>
    <t>RESIDUAL INCOME  VALUATION</t>
  </si>
  <si>
    <t xml:space="preserve">Comprehensive Income Available </t>
  </si>
  <si>
    <t xml:space="preserve">    for Common Shareholders</t>
  </si>
  <si>
    <t>Book Value of Common</t>
  </si>
  <si>
    <t xml:space="preserve">    Shareholders' Equity (at t-1)</t>
  </si>
  <si>
    <t>Required Earnings</t>
  </si>
  <si>
    <t>Residual Income</t>
  </si>
  <si>
    <t>Add: Beginning Book Value of Equity</t>
  </si>
  <si>
    <t>RESIDUAL INCOME VALUATION SENSITIVITY ANALYSIS:</t>
  </si>
  <si>
    <t>Market-to-Book Approach</t>
  </si>
  <si>
    <t xml:space="preserve">Implied ROCE </t>
  </si>
  <si>
    <t xml:space="preserve">Residual ROCE </t>
  </si>
  <si>
    <t>Add one for book value of equity at t-1</t>
  </si>
  <si>
    <t>Sum</t>
  </si>
  <si>
    <t>Adjust to mid-year discounting</t>
  </si>
  <si>
    <t>Implied Market-to-Book Ratio</t>
  </si>
  <si>
    <t>Times Beginning Book Value of Equity</t>
  </si>
  <si>
    <t>Sensitivity analysis for the market-to-book approach should be identical to that of the residual income approach.</t>
  </si>
  <si>
    <t>Dividends Paid to Common Shareholders</t>
  </si>
  <si>
    <t>Less: Common Stock Issues</t>
  </si>
  <si>
    <t>Plus: Common Stock Repurchases</t>
  </si>
  <si>
    <t>Lagged Book Value of Common</t>
  </si>
  <si>
    <t>Net Income / Revenues</t>
  </si>
  <si>
    <t>Revenue Growth</t>
  </si>
  <si>
    <t>Net Income Growth</t>
  </si>
  <si>
    <t>PERSISTENT OPERATING PERFORMANCE (excluding the effects of nonrecurring items):</t>
  </si>
  <si>
    <t>Operating Profit / Revenues</t>
  </si>
  <si>
    <t>Persistent Operating Profit / Revenues</t>
  </si>
  <si>
    <t>Persistent Net Income / Revenues</t>
  </si>
  <si>
    <t>Persistent Net Income Growth</t>
  </si>
  <si>
    <t>Beneish Earnings Manipulation Score</t>
  </si>
  <si>
    <t>Bankruptcy Predictors:</t>
  </si>
  <si>
    <t>Altman Z Score</t>
  </si>
  <si>
    <t>Earnings Manipulation Predictors:</t>
  </si>
  <si>
    <t xml:space="preserve">   Bankruptcy Probability</t>
  </si>
  <si>
    <t xml:space="preserve">   Earnings Manipulation Probability</t>
  </si>
  <si>
    <t>Market Value to Book Value Ratio</t>
  </si>
  <si>
    <t>Accounts Payable Turnover</t>
  </si>
  <si>
    <t>Net Working Capital Days</t>
  </si>
  <si>
    <t xml:space="preserve">   Days Receivables Held</t>
  </si>
  <si>
    <t xml:space="preserve">   Days Inventory Held</t>
  </si>
  <si>
    <t xml:space="preserve">   Days Payables Held</t>
  </si>
  <si>
    <t>Accounts Receivable Turnover</t>
  </si>
  <si>
    <t xml:space="preserve">  - build detailed forecasts of other financial statement amounts.</t>
  </si>
  <si>
    <t>See Forecast Development worksheet for details of revenues forecasts.</t>
  </si>
  <si>
    <t xml:space="preserve">  Days Sales Held in Cash</t>
  </si>
  <si>
    <t>CAPEX Forecasts:</t>
  </si>
  <si>
    <t>CAPEX:</t>
  </si>
  <si>
    <t>Property, Plant and Equipment and Depreciation</t>
  </si>
  <si>
    <t>Property, Plant and Equipment and Depreciation Forecasts:</t>
  </si>
  <si>
    <t>PP&amp;E - net</t>
  </si>
  <si>
    <t>Remaining balance to be depreciated.</t>
  </si>
  <si>
    <t xml:space="preserve">PP&amp;E Purchases: </t>
  </si>
  <si>
    <t>Total Depreciation Expense</t>
  </si>
  <si>
    <t>Depreciation methods:</t>
  </si>
  <si>
    <t>Depreciation Expense</t>
  </si>
  <si>
    <t>Forecast Development: Capital Expenditures, Property, Plant and Equipment, and Depreciation</t>
  </si>
  <si>
    <t>Capital Expenditures:</t>
  </si>
  <si>
    <t>PP&amp;E Acquired</t>
  </si>
  <si>
    <t>PP&amp;E Sold</t>
  </si>
  <si>
    <t>Net CAPEX</t>
  </si>
  <si>
    <t>Net CAPEX as a percent of:</t>
  </si>
  <si>
    <t xml:space="preserve"> Gross PP&amp;E</t>
  </si>
  <si>
    <t>Avg Depreciable PPE</t>
  </si>
  <si>
    <t>(in years)</t>
  </si>
  <si>
    <t>Useful Life Forecast Assumption:</t>
  </si>
  <si>
    <t>Depreciation Expense Forecast Development:</t>
  </si>
  <si>
    <t>Existing PP&amp;E at cost:</t>
  </si>
  <si>
    <t>Depreciation expense forecast on existing PP&amp;E:</t>
  </si>
  <si>
    <t>Capex Year +1</t>
  </si>
  <si>
    <t>Capex Year +2</t>
  </si>
  <si>
    <t>Capex Year +3</t>
  </si>
  <si>
    <t>Capex Year +4</t>
  </si>
  <si>
    <t>Capex Year +5</t>
  </si>
  <si>
    <t>Depreciation expense forecasts on new PP&amp;E:</t>
  </si>
  <si>
    <t>Beg. balance at cost:</t>
  </si>
  <si>
    <t>End balance at cost:</t>
  </si>
  <si>
    <t>Add: CAPEX forecasts from above:</t>
  </si>
  <si>
    <t xml:space="preserve">PP&amp;E at cost: </t>
  </si>
  <si>
    <t>Accumulated Depreciation:</t>
  </si>
  <si>
    <t>Beg. Balance:</t>
  </si>
  <si>
    <t>End Balance:</t>
  </si>
  <si>
    <t>Subtract: Depreciation expense forecasts from below:</t>
  </si>
  <si>
    <t>Gross Profit Control Index</t>
  </si>
  <si>
    <t>Operating Profit Contol Index</t>
  </si>
  <si>
    <t>PP&amp;E assumptions - see schedule in forecast development</t>
  </si>
  <si>
    <t>See depreciation schedule in forecast development worksheet.</t>
  </si>
  <si>
    <t>Net Income (enter reported amount as a check)</t>
  </si>
  <si>
    <t>Assets - Liabilities - Equities</t>
  </si>
  <si>
    <t>Net Income (computed) - Net Income (reported)</t>
  </si>
  <si>
    <t>Cash Changes</t>
  </si>
  <si>
    <t>SUPPLEMENTAL DATA</t>
  </si>
  <si>
    <t>RETURN ON ASSETS (based on reported amounts):</t>
  </si>
  <si>
    <t>RETURN ON ASSETS (excluding the effects of nonrecurring items):</t>
  </si>
  <si>
    <t>RETURN ON COMMON EQUITY (based on reported amounts):</t>
  </si>
  <si>
    <t>Explain assumptions.</t>
  </si>
  <si>
    <t>Cash Turnover</t>
  </si>
  <si>
    <t>Enter the amount of depreciation expense on property, plant and equipment. These amounts (if any) are usually disclosed either in the property, plant and equipment note or in a supplemental inforrmation note. If depreciation expense is not disclosed separately from amortization expense, enter depreciation plus amortization expense.</t>
  </si>
  <si>
    <t>Assume steady percent of total assets.</t>
  </si>
  <si>
    <t>Add accumulated other comprehensive income items from income statement</t>
  </si>
  <si>
    <t>The following implied statements of cash flows are derived from the above income statements and balance sheets. They are not the reported statements of cash flows.</t>
  </si>
  <si>
    <t>This row approximates depreciation expense using the change in accumulated depreciation.</t>
  </si>
  <si>
    <t xml:space="preserve">  Net Cash Flows from Operations</t>
  </si>
  <si>
    <t>These check figures should be zero, indicating the net change in cash on the statement of cash flows agrees with the change in cash on the balance sheet. If a check figure is not zero, it indicates one or more errors either in the balance sheet or the statement of cash flows. The user must find and correct any errors.</t>
  </si>
  <si>
    <t>Comprehensive Income Performance:</t>
  </si>
  <si>
    <t>These check figures should be zero, indicating the total assets on the  balance sheet balances with the total liabilities and shareholders' equity. If a check figure is not zero, it indicates one or more errors either on the balance sheet or in the plug figure used to balance the balance sheet. The user must find and correct any errors.</t>
  </si>
  <si>
    <t>VALUATION MODELS</t>
  </si>
  <si>
    <t>After-tax cost of debt capital</t>
  </si>
  <si>
    <t>Market Value Parameters:</t>
  </si>
  <si>
    <t>Long Run Growth Parameters:</t>
  </si>
  <si>
    <t>Cost of Equity Capital Parameters:</t>
  </si>
  <si>
    <t>Cost of Debt Capital Parameters:</t>
  </si>
  <si>
    <t>Cost of Preferred Stock Parameters:</t>
  </si>
  <si>
    <t>Weighted Average Cost of Capital:</t>
  </si>
  <si>
    <t>Enter the long run growth rate assumption for use in the valuation models. This growth rate must agree with the long run growth rate used to forecast Year +6 and Beyond in the Forecasts spreadsheet.</t>
  </si>
  <si>
    <t>The FSAP user must enter valuation parameter assumptions in the green-shaded, blue font boxes below. These valuation parameters involve the costs of common equity capital, debt capital, and preferred stock capital (if any), as well as the long run growth rate assumption.  FSAP references data in the Data spreadsheet and the Forecasts spreadsheet when available. FSAP uses these parameters to compute costs of capital to use as discount rates in the valuation models.</t>
  </si>
  <si>
    <t>Enter a risk-free rate of return, such as the yield on 3 to 5 year U.S. Treasury bonds.</t>
  </si>
  <si>
    <t xml:space="preserve">FSAP uses the above parameters to compute the after-tax cost of debt capital. </t>
  </si>
  <si>
    <t>Free Cash Flows for All Debt and Equity</t>
  </si>
  <si>
    <t>Free Cash Flows for Common Equity</t>
  </si>
  <si>
    <t>Dividends-Based Valuation</t>
  </si>
  <si>
    <t>This row enables the analyst to adjust for any investing cash flows that should be classified as financing cash flows. For example, if the investing cash flows include cash outflows to acquire investment securities that will be used to retire debt, then these cash outflows should be added back in computing free cash flows to debt and equity.</t>
  </si>
  <si>
    <t>The analyst should adjust free cash flows for changes in cash required for operations.  As firms grow, they typically require larger cash balances for liquidity in operating activities.  FSAP is programmed to automatically adjust free cash flows for the change in the cash balance, which is assumed to be required for operations.</t>
  </si>
  <si>
    <t>The analyst should adjust free cash flows for changes in cash required for operations.  As firms grow, they typically require larger cash balances for liquidity in operating activities.  FSAP is programmed to automatically adjust free cash flows for the changes in cash balances, which are assumed to be required for operations.</t>
  </si>
  <si>
    <t>Decrease (Increase) in Cash Required for Operations</t>
  </si>
  <si>
    <t>Free Cash Flows - All Debt and Equity</t>
  </si>
  <si>
    <t>This adjustment corrects for over-discounting. The present value factors discount from the end of each year to the present, whereas dividends, cash flows, and earnings are generated throughout the year. This adjustment computes the present value so that dividends, cash flows, and earnings are discounted from the mid-point of each year.</t>
  </si>
  <si>
    <t>The sum of the present value of net dividends through Year +5.</t>
  </si>
  <si>
    <t xml:space="preserve">The present value of continuing value dividends in Year +6 and beyond. Year +6 dividends are treated as a perpetuity with growth using the long-run growth rate assumption, discounted to present value at the equity cost of capital. </t>
  </si>
  <si>
    <t xml:space="preserve">The estimated value per share. </t>
  </si>
  <si>
    <t>Market-to-Book Valuation:</t>
  </si>
  <si>
    <t>Dividends-Based Valuation:</t>
  </si>
  <si>
    <t xml:space="preserve">FSAP automatically estimates the estimated useful life for depreciation purposes by dividing the average amount of gross depreciable PP&amp;E by depreciation expense.  This estimate assume straight line depreciation and zero salvage value. </t>
  </si>
  <si>
    <t xml:space="preserve">FSAP automatically computes a new depreciation schedule for each year's capital expenditures, which are included in PP&amp;E. These computations assume straight line depreciation methods and zero salvage value. The computations use the extimated useful life as computed below. </t>
  </si>
  <si>
    <t xml:space="preserve">This computation shows depreciation expense based on the exisiting depreciable PP&amp;E at the start of the forecast period. The computation assumes straight line depreciation methods, zero salvage value, and the estimated useful life computed below. .  </t>
  </si>
  <si>
    <t xml:space="preserve">The estimated value per share. The first-iteration estimate of share value using this approach frequently differs slightly from the other share value estimates. Several iterations can be required to adjust the weights of debt and equity used to compute WACC to agree with the value of common equity implied by this valuation model. </t>
  </si>
  <si>
    <t>Sensitivity Analyses:</t>
  </si>
  <si>
    <t xml:space="preserve">The FSAP user can enter the relevant range of discount rates in the left-most column and the relevant range of long run growth rates in the top row.  Enter the discount rates and growth rates as percentages.  </t>
  </si>
  <si>
    <t>Residual Income Valuation:</t>
  </si>
  <si>
    <t xml:space="preserve">Chapter 13 describes the residual income valuation approach. </t>
  </si>
  <si>
    <t xml:space="preserve">Chapter 12 describes the free cash flows-based valuation approaches. </t>
  </si>
  <si>
    <t xml:space="preserve">Chapter 14 describes the market-to-book valuation approach. </t>
  </si>
  <si>
    <t xml:space="preserve">Chapter 11 describes the dividends-based valuation approach. </t>
  </si>
  <si>
    <t xml:space="preserve">The present value of continuing free cash flows in Year +6 and beyond. Year +6 free cash flows are treated as a perpetuity with growth using the long-run growth rate assumption, discounted to present value at the equity cost of capital. </t>
  </si>
  <si>
    <t>The sum of the present value of residual income through Year +5.</t>
  </si>
  <si>
    <t>FSAP computes required earnings as the equity cost of capital times the beginning of year book value of common shareholders' equity.</t>
  </si>
  <si>
    <t xml:space="preserve">Residual income is the difference between projected comprehensive income available to common and required earnings. </t>
  </si>
  <si>
    <t xml:space="preserve">FSAP computes the implied ROCE, dividing comprehensive income by beginning of year book value of common equity. </t>
  </si>
  <si>
    <t xml:space="preserve">FSAP computes the residual ROCE as implied ROCE minus the equity cost of capital computed above.  </t>
  </si>
  <si>
    <t>The product of residual ROCE and the cumulative growth factor in common equity.</t>
  </si>
  <si>
    <t>Cumulative growth factor in common equity as of t-1</t>
  </si>
  <si>
    <t>FSAP computes the cumulative growth factor in common equity as beginning of year book value of common equity divided by book value of common equity on the firm's current balance sheet.</t>
  </si>
  <si>
    <t>RETURN ON COMMON EQUITY (excluding the effects of nonrecurring items):</t>
  </si>
  <si>
    <t>Effective income tax rate assumptions.</t>
  </si>
  <si>
    <t>LT Debt / LT Capital</t>
  </si>
  <si>
    <t>This Forecast Development spreadsheet provides work space in which the analyst can:</t>
  </si>
  <si>
    <t>RETURN ON COMMON SHAREHOLDERS' EQUITY ANALYSIS (excluding the effects of non-recurring items)</t>
  </si>
  <si>
    <t>Interest Coverage Ratio (reported amounts)</t>
  </si>
  <si>
    <t>Interest Coverage ratio (recurring amounts)</t>
  </si>
  <si>
    <t>Price-Earnings Ratio (reported amounts)</t>
  </si>
  <si>
    <t>Price-Earnings Ratio (recurring amounts)</t>
  </si>
  <si>
    <t>RETURN ON ASSETS ANALYSIS (excluding the effects of non-recurring items)</t>
  </si>
  <si>
    <t>PPE at Cost</t>
  </si>
  <si>
    <t>Implied Avg. Useful Life in Years</t>
  </si>
  <si>
    <t xml:space="preserve">It is not necessary to use this spreadsheet to build financial statement forecasts in the FSAP Forecasts </t>
  </si>
  <si>
    <t>spreadsheet.  If you use this spreadsheet to build more detailed forecasts, the you will need to link these</t>
  </si>
  <si>
    <t xml:space="preserve">forecast amounts to the appropriate cells in the financial statements in the FSAP Forecasts spreadsheet.  </t>
  </si>
  <si>
    <t>A Comment on Entering Forecast Assumptions:</t>
  </si>
  <si>
    <t xml:space="preserve">A Comment on Balancing the Balance Sheet: </t>
  </si>
  <si>
    <t>A Comment on Forecasts for Year +6 and Beyond:</t>
  </si>
  <si>
    <t>Dividends to Common Equity</t>
  </si>
  <si>
    <t>Long-run growth assumption used in forecasts</t>
  </si>
  <si>
    <t>Long-run growth assumption used in valuation.</t>
  </si>
  <si>
    <t xml:space="preserve">  (Both long-run growth assumptions should be the same.)</t>
  </si>
  <si>
    <t>Add back: Net CFs into Financial Assets</t>
  </si>
  <si>
    <t>COST OF DEBT CAPITAL</t>
  </si>
  <si>
    <t>Cost of debt capital, before tax</t>
  </si>
  <si>
    <t>Number of shares outstanding</t>
  </si>
  <si>
    <t>Current market value</t>
  </si>
  <si>
    <t>Preferred stock capital</t>
  </si>
  <si>
    <t>Preferred dividends</t>
  </si>
  <si>
    <t>Equity risk factor (market beta)</t>
  </si>
  <si>
    <t>Risk free rate</t>
  </si>
  <si>
    <t>Implied yield</t>
  </si>
  <si>
    <t>A Comment on Entering Valuation Parameter Assumptions:</t>
  </si>
  <si>
    <t>Receivables</t>
  </si>
  <si>
    <t>Inventory</t>
  </si>
  <si>
    <t>Fixed Assets</t>
  </si>
  <si>
    <t>SHAREHOLDERS' EQUITY</t>
  </si>
  <si>
    <t>Wahlen, Baginski &amp; Bradshaw</t>
  </si>
  <si>
    <t>Insert your name in column B.</t>
  </si>
  <si>
    <t>Enter the name of the company in Column B.  This name will appear on the output of all spreadsheets within FSAP.</t>
  </si>
  <si>
    <t>FSAP automatically computes the amount of total current assets.</t>
  </si>
  <si>
    <t>FSAP automatically computes the amount of total assets.</t>
  </si>
  <si>
    <t>FSAP automatically computes the amount of total current liabilities.</t>
  </si>
  <si>
    <t>FSAP automatically computes the amount of total liabilitries.</t>
  </si>
  <si>
    <t>The amount for this item appears either on the Balance Sheet or the Statement of Shareholders' Equity. Be sure to enter as a positive or negative amount as appropriate.</t>
  </si>
  <si>
    <t>FSAP automatically computes the amount of total shareholders' equity.</t>
  </si>
  <si>
    <t>FSAP automatically computes the amount of total liabilities plus shareholders' equity.</t>
  </si>
  <si>
    <t>When entering income statement data, enter amounts that increase income (revenues, gains, income) as positive amounts, and enter amounts that decrease income (expenses, losses) as negative amounts.</t>
  </si>
  <si>
    <t>FSAP automatically computes the amount of gross profit.</t>
  </si>
  <si>
    <t>FSAP automatically computes the amount of operating profit.</t>
  </si>
  <si>
    <t xml:space="preserve">FSAP automatically computes the amount of income before tax. </t>
  </si>
  <si>
    <t>Enter the amount of income tax expense that appears on the income statement in the section for income from continuing operations.  If income tax expense reduces income, enter the amount as a negative number.</t>
  </si>
  <si>
    <t>FSAP automatically computes the amount of net income using the above data for revenues, expenses, gains and losses.</t>
  </si>
  <si>
    <t>FSAP automatically computes the amount of comprehensive income.</t>
  </si>
  <si>
    <t>FSAP automatically computes the amount of cash flow from operations.</t>
  </si>
  <si>
    <t xml:space="preserve">FSAP automatically computes the amount of cash flow from investing activities. </t>
  </si>
  <si>
    <t xml:space="preserve">FSAP automatically computes the amount of cash flow from financing activities. </t>
  </si>
  <si>
    <t>Enter the statutory income tax rate applicable to ordinary income and deductions (such as the deduction for interest expense). The Federal corporate income tax rate is currently 35 percent in the United States. Alternatively, one can  enter a statutory tax rate that captures the combined effects of Federal, state, and foreign income taxes. These rates are commonly disclosed in the tax note.</t>
  </si>
  <si>
    <t>Enter the total amount of preferred stock dividends paid, if any.</t>
  </si>
  <si>
    <t>Enter the amount that appears on the firm's income statement.</t>
  </si>
  <si>
    <t>This cell computes common dividends per share by dividing the dividend payments from the cash flow statement by the number of outstanding shares. This assumes the firm pays immaterial preferred dividends. If that assumption does not hold, enter the amount of common dividends per share directly.</t>
  </si>
  <si>
    <t xml:space="preserve">Asset turnover measures how efficiently the firm uses its assets to generate sales. It measures the number of sales dollars generated per average dollar invested in assets. </t>
  </si>
  <si>
    <t xml:space="preserve">Rate of return on assets is the product of the firm's profitability and its efficiency. </t>
  </si>
  <si>
    <t xml:space="preserve">Return on assets measures the rate of return the firm earns per average dollar invested in assets. </t>
  </si>
  <si>
    <t xml:space="preserve">See the preceding FSAP User Guides on ROA. </t>
  </si>
  <si>
    <t xml:space="preserve">Capital structure leverage measures the average amount invested in assets divided by the average amount financed by common equity shareholders. </t>
  </si>
  <si>
    <t xml:space="preserve">Rate of return on common equity is the product of the firm's profitability, efficiency, and leverage. </t>
  </si>
  <si>
    <t xml:space="preserve">Return on common  equity measures the rate of return the firm earns per average dollar in common shareholders' equity. </t>
  </si>
  <si>
    <t xml:space="preserve">See the preceding FSAP User Guides on ROCE. </t>
  </si>
  <si>
    <t xml:space="preserve">These computations of ROA exclude the after-tax effects of nonrecurring items in income to measure the firm's persistent ROA. </t>
  </si>
  <si>
    <t xml:space="preserve">These computations of ROCE exclude the after-tax effects of nonrecurring items in income to measure the firm's persistent ROCE. </t>
  </si>
  <si>
    <t>The Analysis worksheet in FSAP automatically computes a wide array of financial statement analysis ratios using the amounts entered on the Data worksheet.</t>
  </si>
  <si>
    <t xml:space="preserve">The FSAP User Guides next to each row provide brief descriptions of ratio computations. See the text for more in-depth discussion of how to compute and interpret each ratio. </t>
  </si>
  <si>
    <t>Row Format:</t>
  </si>
  <si>
    <t xml:space="preserve">FSAP checks the Data worksheet for an equality between total assets and total liabilities plus shareholders' equity. A non-zero amount in this row indicates a likely data input error in one or more balance sheet accounts. </t>
  </si>
  <si>
    <t xml:space="preserve">FSAP checks whether the net income amounts determined by revenue and expense amounts entered in the Data worksheet equal the reported amount of net income.  A non-zero amount on this row likely indicates an input error in one or more income statement accounts.  </t>
  </si>
  <si>
    <t xml:space="preserve">FSAP checks that the change in cash on the statement of cash flows equals the change in cash on the balance sheet in the Data worksheet. A non-zero amount indicates either a data input error on one or more rows of the cash flow statement or the use of a different definition of cash on the two financial statements.  The user should identify the reason for and correct any non-zero amount. </t>
  </si>
  <si>
    <t xml:space="preserve">Profit margin for ROA measures how much profitability the firm derives from its revenues. For this ratio, profitability is measured before the effects of financing costs (after tax) and minority interest in earnings. </t>
  </si>
  <si>
    <t xml:space="preserve">Profit margin for ROCE measures the net profit margin per dollar of sales. Profit margin for ROCE is measured after deducting any preferred dividends from net income, in order to compute the amount of net income available to common equity shareholders. </t>
  </si>
  <si>
    <t>Year-on-year growth rate in revenues.</t>
  </si>
  <si>
    <t>Year-on-year growth rate in net income.</t>
  </si>
  <si>
    <t>Year-on-year growth rate in net income, after excluding the effects of non-recurring items in income.</t>
  </si>
  <si>
    <t>OPERATING CONTROL:</t>
  </si>
  <si>
    <t>Profit Margin Decomposition:</t>
  </si>
  <si>
    <t>Gross Profit Margin</t>
  </si>
  <si>
    <t>Operating Profit Index</t>
  </si>
  <si>
    <t>Leverage Index</t>
  </si>
  <si>
    <t>Tax Index</t>
  </si>
  <si>
    <t>Net Profit Margin</t>
  </si>
  <si>
    <t>Comprehensive Income Index</t>
  </si>
  <si>
    <t>Comprehensive Income Margin</t>
  </si>
  <si>
    <t>Operating profit as a percent of gross profit. The complement of this percentage is the percent of gross profit absorbed by overhead and operating expenses.</t>
  </si>
  <si>
    <t xml:space="preserve">Income before tax as a percent of operating profit. The complement of this percentage is the percent of operating profit absorbed by (net) financing costs. If this index is great than 100%, it implies financing income (interest income, income from equity affiliates) exceeds financing costs (interest expense). </t>
  </si>
  <si>
    <t xml:space="preserve">Net income as a percent of income before tax. The complement of this percentage is the average effective tax rate. This index is also affected by items such as extraordinary gains and losses, discontinued operations, and changes in accounting principles. </t>
  </si>
  <si>
    <t xml:space="preserve">Net income as a percent of revenues. The net profit margin will also equal the product of the gross profit margin times the operating profit index, the leverage index and the tax index. </t>
  </si>
  <si>
    <t xml:space="preserve">Comprehensive income as a percent of net income. </t>
  </si>
  <si>
    <t xml:space="preserve">Comprehensive income as a percent of revenues. </t>
  </si>
  <si>
    <t>Current assets divided by current liabilities.</t>
  </si>
  <si>
    <t xml:space="preserve">More liquid current assets (cash and cash equivalents, marketable securities, accounts receivable) divided by current liabilities. </t>
  </si>
  <si>
    <t xml:space="preserve">Operating cash flows divided by the average amount of current liabilities. </t>
  </si>
  <si>
    <t xml:space="preserve">Total revenues divided by the average balance in accounts receivable. </t>
  </si>
  <si>
    <t>Inventory purchases (computed as cost of goods sold plus the change in inventory) divided by the average amount in accounts payable.</t>
  </si>
  <si>
    <t>The number of days in receivables is measured as 365 divided by the accounts receivable turnover rate. This measures the average number of days to collect receivables.</t>
  </si>
  <si>
    <t>The number of days in inventory is measured as 365 divided by the inventory turnover rate. This measures the average number of days to make and sell inventory.</t>
  </si>
  <si>
    <t>The number of days in payables is measured as 365 divided by the accounts payable turnover rate. This measures the average number of days to pay payables.</t>
  </si>
  <si>
    <t xml:space="preserve">Net working capital days measures the number of days to make and sell inventory plus the number of days to collect receivables, minus the number of days to pay payables. </t>
  </si>
  <si>
    <t xml:space="preserve">Total revenues divided by the average balance in net property, plant, and equipment. This measures efficiency is using fixed assets to generate revenues. </t>
  </si>
  <si>
    <t xml:space="preserve">Revenues divided by the average cash balance. </t>
  </si>
  <si>
    <t>Cost of goods sold divided by the average amaount of inventory.</t>
  </si>
  <si>
    <t xml:space="preserve">The number of days sales held in cash is measured as 365 divided by the cash turnover rate. It measures the average number of days of sales held in cash and cash equivalents. </t>
  </si>
  <si>
    <t xml:space="preserve">This ratio measures the percentage of total ssets financed by total liabilities. </t>
  </si>
  <si>
    <t>This debt/equity ratio measures total liabiliteis as a percent of common shareholders' equity.</t>
  </si>
  <si>
    <t>This ratio measures the percent of debt financing relative to total long term capital (long term debt plus commmon shareholders' equity).</t>
  </si>
  <si>
    <t>This ratio measures the percent of long term debt financing relative to commmon shareholders' equity.</t>
  </si>
  <si>
    <t>Operating cash flows divided by the average amount of total liabilities.</t>
  </si>
  <si>
    <t>Net income before interest expense, income taxes, and minority interest in income, divided by interest expense.</t>
  </si>
  <si>
    <t>Net income before interest expense, income taxes, minority interest in income, and non-recurring items divided by interest expense.</t>
  </si>
  <si>
    <t xml:space="preserve">The Altman Z-score is a multivariate predictor of bankruptcy. </t>
  </si>
  <si>
    <t>The probability of bankruptcy over the next two years as indicated by the Altman Z-score.</t>
  </si>
  <si>
    <t xml:space="preserve">The Beneish Earnings Manipulation Score is a multivariate indicator of the likelihood reported earnings numbers have been fraudulently manipulated. </t>
  </si>
  <si>
    <t xml:space="preserve">The probability of earnings manipulation given the Beneish Earnings Manipulation Score. </t>
  </si>
  <si>
    <t xml:space="preserve">Stock returns measure fiscal year-end share price plus dividends divided by beginning of year share price. </t>
  </si>
  <si>
    <t xml:space="preserve">Fiscal year-end share price divided by earnings per share. </t>
  </si>
  <si>
    <t xml:space="preserve">Fiscal year-end share price divided by earnings per share after excluding the per-share effects of non-recurring items in income. </t>
  </si>
  <si>
    <t xml:space="preserve">Market value of common equity divided by book value of common equity. </t>
  </si>
  <si>
    <t xml:space="preserve">All of the common-size income statement ratios measure a particular income amount as a percent of total revenues. </t>
  </si>
  <si>
    <t xml:space="preserve">The year-on-year growth rates indicate the annual rate of growth in a particular income item. </t>
  </si>
  <si>
    <t xml:space="preserve">The compound growth rates indicate the average compounded rate of growth in a particular income item over the five-year data period (six years of data yield five periods of growth). If fewer than six year of data have been entered into the Data Worksheet, these compounded growth rate computations should be revised to measure compounded growth over the period for which data are available.  </t>
  </si>
  <si>
    <t>Assets:</t>
  </si>
  <si>
    <t>Liabilities and Equities:</t>
  </si>
  <si>
    <t xml:space="preserve">All of the common-size balance sheet ratios measure a particular balance sheet amount as a percent of total assets. </t>
  </si>
  <si>
    <t>YEAR TO YEAR GROWTH RATES:</t>
  </si>
  <si>
    <t xml:space="preserve">The year-on-year growth rates indicate the annual rate of growth in a particular balance sheet item. </t>
  </si>
  <si>
    <t xml:space="preserve">The compound growth rates indicate the average compounded rate of growth in a particular balance sheet item over the five-year data period (six years of data yield five periods of growth). If fewer than six year of data have been entered into the Data Worksheet, these compounded growth rate computations should be revised to measure compounded growth over the period for which data are available.  </t>
  </si>
  <si>
    <t>Turnovers:</t>
  </si>
  <si>
    <t>STATEMENT OF CASH FLOWS: SUMMARY</t>
  </si>
  <si>
    <t>Operating Activities:</t>
  </si>
  <si>
    <t>Investing Activities:</t>
  </si>
  <si>
    <t>Investments</t>
  </si>
  <si>
    <t>Financing Activities:</t>
  </si>
  <si>
    <t xml:space="preserve">  Net Change in Cash</t>
  </si>
  <si>
    <t xml:space="preserve">This schematic provides a decomposition of ROA and ROCE into component ratios that determine ROA and ROCE. </t>
  </si>
  <si>
    <t xml:space="preserve">Level 3 component ratios provide more detail about components of income that affect the profit margin for ROA as well as turnover ratios for specific assets. </t>
  </si>
  <si>
    <t>By James Wahlen, Steve Baginski, and Mark Bradshaw</t>
  </si>
  <si>
    <t>Gross profit margin as a percent of revenues.</t>
  </si>
  <si>
    <t xml:space="preserve">Operating income as a percent of revenues. </t>
  </si>
  <si>
    <t>Net income as a percent of revenues.</t>
  </si>
  <si>
    <t>Comprehensive income as a percent of revenues.</t>
  </si>
  <si>
    <t>The rate of change in gross profit relative to the rate of change in revenues.</t>
  </si>
  <si>
    <t>The rate of change in operating income relative to the rate of change in revenues.</t>
  </si>
  <si>
    <t xml:space="preserve">Operating income as a percent of revenues after excluding the effects of non-recurring operating income items (such as non-recurring operating expenses and losses).  </t>
  </si>
  <si>
    <t>Net income as a percent of revenues, after excluding the effects of non-recurring items in income.</t>
  </si>
  <si>
    <t>Enter the amount of reported net income on this line.  It will be used by FSAP to provide a mathematical check on the amounts of all revenues and expenses on preceding lines.</t>
  </si>
  <si>
    <t xml:space="preserve">Enter any amounts of income (or &lt;loss&gt;) from equity or noncontrolled affiliates. </t>
  </si>
  <si>
    <t>Enter any amount reported in the separate section of the income statement labeled Discontinued Operations. The amount is reported net of tax effects.  Enter as a positive or negative number as appropriate.</t>
  </si>
  <si>
    <t>Enter any amount reported in the separate section of the income statement labeled Extraordinary Items.  The amount is reported net of taxes.  Enter as a positive or negative number as appropriate.</t>
  </si>
  <si>
    <t>Enter any amount reported in the separate section of the income statement labeled Changes in Accounting Principles. The amount is reported net of income taxes. Enter as a positive or negative number as appropriate.</t>
  </si>
  <si>
    <t>FSAP automatically enters the Net Income amount computed above.</t>
  </si>
  <si>
    <t>FSAP automatically computes the net change in cash.</t>
  </si>
  <si>
    <t>This rate is computed by FSAP as the ratio of the income tax expense to income before tax.</t>
  </si>
  <si>
    <t>In the Statement of Cash Flows Data, enter amounts reported on the firm's  statement of cash flows. Enter amounts that increase (decrease) cash as positive (negative) numbers. The row headings help indicate whether amounts should be positive or negative.</t>
  </si>
  <si>
    <t>The FSAP user must decide whether particular operating gains or losses are non-recurring - infrequent and unusual given the firm's business and operating environment.  If so, enter the amounts on the appropriate rows. Enter expense and loss amounts as negative numbers.</t>
  </si>
  <si>
    <t>Dividend Based Valuation</t>
  </si>
  <si>
    <t>Free Cash Flow Valuation</t>
  </si>
  <si>
    <t>Residual Income Valuation</t>
  </si>
  <si>
    <t>Residual Income Market-to-Book Valuation</t>
  </si>
  <si>
    <t>DATA CHECKS - Estimated Value per Share</t>
  </si>
  <si>
    <t>Free Cash Flow for All Debt and Equity Valuation</t>
  </si>
  <si>
    <t>FSAP automatically references the estimated value per share.</t>
  </si>
  <si>
    <t xml:space="preserve">The Property, Plant &amp; Equipment and Depreciation schedule automatically computes for the FSAP detailed forecasts of future PP&amp;E based on exisitng PP&amp;E plus projected future capital expenditures. The Depreciation expense schedule automatically computes future depreciation expense based on exisitng depreciable PP&amp;E future capital expenditures.  The expected useful life for depreciation purposes is computed below.  </t>
  </si>
  <si>
    <t xml:space="preserve">FSAP automatically links the projected amounts for gross PP&amp;E, accumulated depreciation, depreciation expense, and capital expenditures into the financial statements in the Forecasts worksheet. </t>
  </si>
  <si>
    <t>This computation shows the amount of gross PP&amp;E still to be depreciated.  Once this amount falls to zero, depreciation is complete.The FSAP user should be sure that these amounts are not negative.</t>
  </si>
  <si>
    <t xml:space="preserve">This row automatically sums the pre-tax amounts of unusual and nonrecurring items and the after-tax amounts of discontinued operatons, extraordinary items and changes in accounting principles from the income statement above. The analyst must then adjust the items that are stated in pre-tax amounts to an after-tax basis either by adjusting for the specific amounts of applicable tax (or tax savings) as disclosed by the firm, or if not disclosed, by adjusting these items for the statutory tax rate.  </t>
  </si>
  <si>
    <t>Enter the number of common shares outstanding at the end of each year.  Be sure to reduce the number of shares issued by the number of any shares held as treasury stock to arrive at the number of common shares outstanding.  The number of common shares outstanding should be expressed in the same numerical units (for example, thousands or millions) as the financial statement amounts entered in the preceding cells.</t>
  </si>
  <si>
    <t xml:space="preserve">This should be the closing market price per share on the last day of the firm's accounting period (usually December 31 of each year).  If stock markets are closed on the last day of the accounting period, use the closing price on the most recent trading day following the end of the period.  </t>
  </si>
  <si>
    <t xml:space="preserve">FSAP checks for an equality between total assets and total liabilities plus shareholders' equity. A non-zero amount in this row indicates a likely data input error in one or more balance sheet accounts. </t>
  </si>
  <si>
    <t xml:space="preserve">FSAP checks that the inputted amounts of revenues and expenses equal the reported amount of net income.  A non-zero amount on this row likely indicates an input error in one or more income statement accounts.  </t>
  </si>
  <si>
    <t xml:space="preserve">FSAP checks that the change in cash on the statement of cash flows equals the change in cash on the balance sheet. A non-zero amount indicates either a data input error on one or more rows of the cash flow statement or the use of a different definition of cash on the two financial statements.  The user should identify the reason for and correct any non-zero amount. </t>
  </si>
  <si>
    <t xml:space="preserve">The FSAP User Guides appear in column J to the right. </t>
  </si>
  <si>
    <t>The Data spreadsheet is designed for up to six years of financial statement data.  The user must input the most recent year of financial statement data in column G, regardless of the number of years of data inputted.</t>
  </si>
  <si>
    <t>The user must conform financial statement data to the FSAP template because the spreadsheets within FSAP use the Data spreadsheet as their base.  The user can, however, rename account titles as necessary to match the account titles of the particular firm. FSAP contains a number of general purpose accounts that can be renamed to fit the accounts of the particular firm (for example, Other Current Assets (1) and (2)).</t>
  </si>
  <si>
    <t xml:space="preserve">Throughout FSAP, enter amounts for account titles listed in brackets &lt;&gt; as negative numbers. Except for per share amounts, be consistent with the units of the amounts entered (for example, thosands or millions). </t>
  </si>
  <si>
    <t>FSAP User Guides:</t>
  </si>
  <si>
    <t>By James Wahlen, Steve Baginski and Mark Bradshaw</t>
  </si>
  <si>
    <t xml:space="preserve">  Current Assets</t>
  </si>
  <si>
    <t xml:space="preserve">   Total Assets</t>
  </si>
  <si>
    <t xml:space="preserve">  Current Liabilities</t>
  </si>
  <si>
    <t xml:space="preserve">  Total Liabilities</t>
  </si>
  <si>
    <t xml:space="preserve">  Total Liabilities and Equities</t>
  </si>
  <si>
    <t>Comprehensive Income</t>
  </si>
  <si>
    <t>Net Income</t>
  </si>
  <si>
    <t xml:space="preserve">  Net CF from Investing Activities</t>
  </si>
  <si>
    <t xml:space="preserve">  Net CF from Financing Activities</t>
  </si>
  <si>
    <t>Analyst Name:</t>
  </si>
  <si>
    <t>Company Name:</t>
  </si>
  <si>
    <t>Inventories</t>
  </si>
  <si>
    <t>FINANCIAL DATA CHECKS</t>
  </si>
  <si>
    <t>BALANCE SHEET DATA</t>
  </si>
  <si>
    <t>INCOME STATEMENT DATA</t>
  </si>
  <si>
    <t xml:space="preserve">  Gross Profit</t>
  </si>
  <si>
    <t xml:space="preserve">  Operating Profit</t>
  </si>
  <si>
    <t xml:space="preserve">  Income before Tax</t>
  </si>
  <si>
    <t xml:space="preserve">The Capital Expenditures schedule permits the FSAP user to build detailed forecasts of future capital expenditures as a percent of future revenues, gross PP&amp;E or any other reasonable basis for these forecast assumptions. </t>
  </si>
  <si>
    <t>STATEMENT OF CASH FLOWS DATA</t>
  </si>
  <si>
    <t>Year (Most recent in far right column.)</t>
  </si>
  <si>
    <t>DATA CHECKS</t>
  </si>
  <si>
    <t>PROFITABILITY FACTORS:</t>
  </si>
  <si>
    <t xml:space="preserve">  Profit Margin for ROA</t>
  </si>
  <si>
    <t>x Asset Turnover</t>
  </si>
  <si>
    <t>= Return on Assets</t>
  </si>
  <si>
    <t xml:space="preserve">  Profit Margin for ROCE</t>
  </si>
  <si>
    <t>x Capital Structure Leverage</t>
  </si>
  <si>
    <t>= Return on Common Equity</t>
  </si>
  <si>
    <t>OPERATING PERFORMANCE:</t>
  </si>
  <si>
    <t>Operating Profit Before Taxes / Revenues</t>
  </si>
  <si>
    <t>Comprehensive Income / Revenues</t>
  </si>
  <si>
    <t>ASSET TURNOVER:</t>
  </si>
  <si>
    <t>COGS / Average Inventory</t>
  </si>
  <si>
    <t>RISK FACTORS:</t>
  </si>
  <si>
    <t>LIQUIDITY:</t>
  </si>
  <si>
    <t>Current Ratio</t>
  </si>
  <si>
    <t>Quick Ratio</t>
  </si>
  <si>
    <t>Operating Cash Flow to Current Liabilities</t>
  </si>
  <si>
    <t>SOLVENCY:</t>
  </si>
  <si>
    <t>Total Liabilities / Total Assets</t>
  </si>
  <si>
    <t>Operating Cash Flow to Total Liabilities</t>
  </si>
  <si>
    <t>Interest Coverage Ratio</t>
  </si>
  <si>
    <t>COMPOUND</t>
  </si>
  <si>
    <t>GROWTH</t>
  </si>
  <si>
    <t>RATE</t>
  </si>
  <si>
    <t>ASSETS:</t>
  </si>
  <si>
    <t>LIABILITIES:</t>
  </si>
  <si>
    <t>RETURN ON ASSETS</t>
  </si>
  <si>
    <t>Level 1</t>
  </si>
  <si>
    <t>Level 2</t>
  </si>
  <si>
    <t>PROFIT MARGIN FOR ROA</t>
  </si>
  <si>
    <t>ASSET TURNOVER</t>
  </si>
  <si>
    <t>Level 3</t>
  </si>
  <si>
    <t>Inventory Turnover</t>
  </si>
  <si>
    <t>RETURN ON COMMON SHAREHOLDERS' EQUITY</t>
  </si>
  <si>
    <t>PROFIT MARGIN FOR ROCE</t>
  </si>
  <si>
    <t>CAPITAL STRUCTURE LEVERAGE</t>
  </si>
  <si>
    <t>FSAP OUTPUT:</t>
  </si>
  <si>
    <t>Actual Amounts</t>
  </si>
  <si>
    <t>Forecast Amounts</t>
  </si>
  <si>
    <t>Common Size Percent</t>
  </si>
  <si>
    <t>Forecast assumption</t>
  </si>
  <si>
    <t>Rate of Change Percent</t>
  </si>
  <si>
    <t>Forecast assumption explanation</t>
  </si>
  <si>
    <t>Long-Run Growth Factor:</t>
  </si>
  <si>
    <t>Actuals</t>
  </si>
  <si>
    <t>Forecasts</t>
  </si>
  <si>
    <t>Year +1</t>
  </si>
  <si>
    <t>Year +2</t>
  </si>
  <si>
    <t>Year +3</t>
  </si>
  <si>
    <t>Year +4</t>
  </si>
  <si>
    <t>Year +5</t>
  </si>
  <si>
    <t>Year +6</t>
  </si>
  <si>
    <t>INCOME STATEMENT</t>
  </si>
  <si>
    <t>common size</t>
  </si>
  <si>
    <t>rate of change</t>
  </si>
  <si>
    <t>BALANCE SHEET</t>
  </si>
  <si>
    <t>Check figures: Balance Sheet A=L+OE?</t>
  </si>
  <si>
    <t>Dividends</t>
  </si>
  <si>
    <t>IMPLIED STATEMENT OF CASH FLOWS</t>
  </si>
  <si>
    <t>Enter Balance Sheet Data:</t>
  </si>
  <si>
    <t>Enter Income Statement Data:</t>
  </si>
  <si>
    <t>Enter Statement of Cash Flows Data:</t>
  </si>
  <si>
    <t>Enter Supplemental Data:</t>
  </si>
  <si>
    <t>Profitability Factors:</t>
  </si>
  <si>
    <t>Risk Factors:</t>
  </si>
  <si>
    <t>Common-Sized Income Statements:</t>
  </si>
  <si>
    <t>Income Statement Growth Rates:</t>
  </si>
  <si>
    <t>Common-Sized Balance Sheets:</t>
  </si>
  <si>
    <t>Balance Sheet Growth Rates:</t>
  </si>
  <si>
    <t>Decomposition of ROA and ROCE:</t>
  </si>
  <si>
    <t>Summary Statement of Cash Flows:</t>
  </si>
  <si>
    <t xml:space="preserve">The Summary Statement of Cash Flows provides an aggregated summation of the major sources of cash inflows and outlfows. </t>
  </si>
  <si>
    <t xml:space="preserve">While the Statement of Cash Flows provides useful detail on specific cash inflows and outflows, this aggegation provide a high-level summary of major categories of cash being generated and used. This aggregation reveals quickly how cash is being generated and how cash is being used. </t>
  </si>
  <si>
    <t>Residual ROCE times cumulative growth</t>
  </si>
  <si>
    <t>The sum of the present value of residual ROCE times cumulative growth through Year +5.</t>
  </si>
  <si>
    <t xml:space="preserve">The present value of residual ROCE times cumulative growth in Year +6 and beyond. Year +6 residual ROCE is treated as a perpetuity with growth using the long-run growth rate assumption, discounted to present value at the equity cost of capital. </t>
  </si>
  <si>
    <t>The sum of the present value of free cash flows for common equity shareholders through Year +5.</t>
  </si>
  <si>
    <t>The sum of the present value of free cash flows for all debt and equity stakeholders through Year +5.</t>
  </si>
  <si>
    <t xml:space="preserve">Total present value of all equity and debt. </t>
  </si>
  <si>
    <t>Less: Value of Outstanding Debt</t>
  </si>
  <si>
    <t>Less: Value of Preferred Stock</t>
  </si>
  <si>
    <t>Plus: Value of Financial Assets</t>
  </si>
  <si>
    <t xml:space="preserve">Subtract the value of outstanding debt. Value should be market value, if known, or fair value if disclosed. If not, use book value. </t>
  </si>
  <si>
    <t xml:space="preserve">Subtract the value of outstanding preferred stock.  Value should be market value, if known, or fair value if disclosed. If not, use book value. </t>
  </si>
  <si>
    <t xml:space="preserve">Add the value of financial assets to be used to retire debt or pay dividends. Value should be market value, if known, or fair value if disclosed. If not, use book value. </t>
  </si>
  <si>
    <t xml:space="preserve">The analyst should program FSAP to subtract interest income after tax if the analyst determines that the firm's financial assets are part of the financial capital structure (such as investment securities intended to retire debt).    </t>
  </si>
  <si>
    <t xml:space="preserve">The present value of continuing free cash flows in Year +6 and beyond. Year +6 free cash flows are treated as a perpetuity with growth using the long-run growth rate assumption, discounted to present value at the weighted average cost of capital. </t>
  </si>
  <si>
    <t>The implied market-to-book value ratio.</t>
  </si>
  <si>
    <t xml:space="preserve">The present value of continuing residual income in Year +6 and beyond. Year +6 residual income is treated as a perpetuity with growth using the long-run growth rate assumption, discounted to present value at the equity cost of capital. </t>
  </si>
  <si>
    <t>Free Cash Flows for Common Equity Valuation:</t>
  </si>
  <si>
    <t>Free Cash Flows for All Debt and Equity Valuation:</t>
  </si>
  <si>
    <t>This row includes amortization expense on amortizable intangible assets.</t>
  </si>
  <si>
    <t xml:space="preserve">  Net Cash Flows from Investing Activities</t>
  </si>
  <si>
    <t xml:space="preserve">  Net Cash Flows from Financing Activities</t>
  </si>
  <si>
    <t xml:space="preserve">The FSAP User Guides appear in column I to the right. </t>
  </si>
  <si>
    <r>
      <t>Profit Margin for ROA</t>
    </r>
    <r>
      <rPr>
        <b/>
        <vertAlign val="superscript"/>
        <sz val="8"/>
        <rFont val="Arial"/>
        <family val="2"/>
      </rPr>
      <t>*</t>
    </r>
  </si>
  <si>
    <r>
      <t>*</t>
    </r>
    <r>
      <rPr>
        <b/>
        <sz val="8"/>
        <rFont val="Arial"/>
        <family val="2"/>
      </rPr>
      <t>Amounts do not sum.</t>
    </r>
  </si>
  <si>
    <t xml:space="preserve">The FSAP User Guides appear in column L to the right. </t>
  </si>
  <si>
    <t xml:space="preserve">The FSAP User Guides appear in column K to the right. </t>
  </si>
  <si>
    <t>FSAP automatically computes the amounts of various sub-totals and totals within the Data spreadsheet.  These items are shaded in gray and serve in checking the mathematical accuracy of inputted amounts.  FSAP checks to ensure that total assets equal total liabilities and shareholders’ equity, that total revenues and gains minus total expenses and losses equal reported net income, and that cash flows from operating, investing, and financing activities equal the change in cash on the balance sheet.  These financial data checks appear at the bottom of the Data spreadsheet.  Any material non-zero amounts (that are not due to rounding) on these rows require the user to re-check amounts inputted to identify and correct the error.</t>
  </si>
  <si>
    <t xml:space="preserve">FSAP uses the above parameters to compute the cost of preferred stock capital. </t>
  </si>
  <si>
    <t>FSAP computes market value of equity using market price per share times number of shares outstanding.</t>
  </si>
  <si>
    <t>Enter the market beta.</t>
  </si>
  <si>
    <t>Enter the expected market risk premium.  This is the amount by which the average expected rate of return on a diversified portfolio of stocks is expected to exceed the expected rate of return on a portfolio of risk free securities. Reasonable estimates commonly range from 3% to 9%.</t>
  </si>
  <si>
    <t>Using the above parameters, FSAP computes the expected rate of return on equity using the market model version of the CAPM.</t>
  </si>
  <si>
    <t xml:space="preserve">FSAP uses the total amount of short term debt and long term debt from the most recent balance sheet data in the Forecasts worksheet. The analyst can override this default by entering the market value of debt capital, if known.  </t>
  </si>
  <si>
    <t>FSAP uses the interest rate assumption entered in the Forecasts spreadsheet.  The analyst can override this default by entering here the expected interest rate on debt capital to be used in computing the weighted average cost of capital.  The interest rate on debt capital used here in valuation should be consistent with the interest rate assumed in the forecasts of future interest expense in the Forecasts Spreadsheet.</t>
  </si>
  <si>
    <t xml:space="preserve">FSAP uses the tax rate assumption entered in the Forecasts spreadsheet.  The analyst can override this default by entering here the effective tax rate for use in computing the effective after-tax cost of debt capital.  </t>
  </si>
  <si>
    <t xml:space="preserve">FSAP uses the most recent share price entered in the Data spreadsheet. The FSAP user can override this and enter the most recent share price directly in this cell. </t>
  </si>
  <si>
    <t xml:space="preserve">FSAP uses the most recent number of shares outstanding entered in the Data spreadsheet. The FSAP user can override this and enter the most recent number of shares outstanding directly in this cell. </t>
  </si>
  <si>
    <t xml:space="preserve">The FSAP user should only enter data in the blue-font cells shaded light green. </t>
  </si>
  <si>
    <t>FSAP uses the above weights and costs of capital to compute a weighted average cost of capital.</t>
  </si>
  <si>
    <t>FSAP uses implied dividends for common shareholders from the Forecasts worksheet.</t>
  </si>
  <si>
    <t>FSAP uses the change in common stock plus paid in capital from the Forecasts worksheet. Stock issues are treated as negative dividends.</t>
  </si>
  <si>
    <t xml:space="preserve">FSAP uses the change in treasury stock from the Forecasts worksheet. Purchases of treasury stock are treated as dividends. </t>
  </si>
  <si>
    <t xml:space="preserve">FSAP uses the preferred stock dividend entered in the Forecasts spreadsheet. The analyst can override this default by entering the required rate of return on preferred stock, if known. </t>
  </si>
  <si>
    <t xml:space="preserve">These present value factors are based on the equity cost of capital, computed above. </t>
  </si>
  <si>
    <t xml:space="preserve">These present value factors are based on the weighted average cost of capital, computed above. </t>
  </si>
  <si>
    <t>FSAP uses net cash flows from operations from the Forecasts worksheet.</t>
  </si>
  <si>
    <t>FSAP uses net cash flows from investing from the Forecasts worksheet.</t>
  </si>
  <si>
    <t>FSAP uses net cash flows from debt financing from the Forecasts worksheet.</t>
  </si>
  <si>
    <t>FSAP uses net cash flows from preferred stock and minority interests from the Forecasts worksheet.</t>
  </si>
  <si>
    <t xml:space="preserve">These figures represent the forecasted total dividends to common equity shareholders. </t>
  </si>
  <si>
    <t xml:space="preserve">These figures represent the forecasted total free cash flows to common equity shareholders. </t>
  </si>
  <si>
    <t xml:space="preserve">These figures represent the forecasted total free cash flows to all debt and equity stakeholders. </t>
  </si>
  <si>
    <t>FSAP uses comprehensive income from the Forecasts worksheet, less any expected dividends to preferred stockholders.</t>
  </si>
  <si>
    <t>FSAP uses beginning of year (lagged) book value of common shareholders' equity from the Forecasts worsksheet.</t>
  </si>
  <si>
    <t>FSAP uses beginning of year (lagged) book value of common shareholders' equity from the Forecasts worksheet.</t>
  </si>
  <si>
    <t>FSAP uses interest expense from the Forecasts worksheet, and adds back the after-tax amount of interest expense.</t>
  </si>
  <si>
    <t>Cash and cash equivalents</t>
  </si>
  <si>
    <t>Prepaid expenses and other current assets</t>
  </si>
  <si>
    <t>Other current assets (2)</t>
  </si>
  <si>
    <t>Property, plant, and equipment - at cost</t>
  </si>
  <si>
    <t>&lt;Accumulated depreciation&gt;</t>
  </si>
  <si>
    <t>Notes payable and short-term debt</t>
  </si>
  <si>
    <t>Current maturities of long-term debt</t>
  </si>
  <si>
    <t>Deferred tax liabilities - current</t>
  </si>
  <si>
    <t>Long-term accrued liabilities</t>
  </si>
  <si>
    <t>Other noncurrent liabilities (2)</t>
  </si>
  <si>
    <t>Preferred stock</t>
  </si>
  <si>
    <t>Common stock + Additional paid in capital</t>
  </si>
  <si>
    <t>Retained earnings &lt;deficit&gt;</t>
  </si>
  <si>
    <t>Accum. other comprehensive income &lt;loss&gt;</t>
  </si>
  <si>
    <t>Interest income</t>
  </si>
  <si>
    <t>&lt;Interest expense&gt;</t>
  </si>
  <si>
    <t>Income &lt;Loss&gt; from equity affiliates</t>
  </si>
  <si>
    <t>&lt;Income tax expense&gt;</t>
  </si>
  <si>
    <t>Income &lt;Loss&gt; from discontinued operations</t>
  </si>
  <si>
    <t>Extraordinary gains &lt;losses&gt;</t>
  </si>
  <si>
    <t>Changes in accounting principles</t>
  </si>
  <si>
    <t>Other comprehensive income items</t>
  </si>
  <si>
    <t>Add back depreciation and amortization expenses</t>
  </si>
  <si>
    <t>Add back stock-based compensation expense</t>
  </si>
  <si>
    <t>Deferred income taxes</t>
  </si>
  <si>
    <t>&lt;Income from equity affiliates, net of dividends&gt;</t>
  </si>
  <si>
    <t>&lt;Increase&gt; Decrease in accounts receivable</t>
  </si>
  <si>
    <t>&lt;Increase&gt; Decrease in inventories</t>
  </si>
  <si>
    <t>&lt;Increase&gt; Decrease in prepaid expenses</t>
  </si>
  <si>
    <t>&lt;Increase&gt; Decrease in other current assets (1)</t>
  </si>
  <si>
    <t>&lt;Increase&gt; Decrease in other current assets (2)</t>
  </si>
  <si>
    <t>Increase &lt;Decrease&gt; in accounts payable</t>
  </si>
  <si>
    <t>Increase &lt;Decrease&gt; in other current liabilities (2)</t>
  </si>
  <si>
    <t>Increase &lt;Decrease&gt; in other noncurrent liabilities (1)</t>
  </si>
  <si>
    <t>Increase &lt;Decrease&gt; in other noncurrent liabilities (2)</t>
  </si>
  <si>
    <t>Other operating cash flows</t>
  </si>
  <si>
    <t>Proceeds from sales of property, plant, and equipment</t>
  </si>
  <si>
    <t>&lt;Property, plant, and equipment acquired&gt;</t>
  </si>
  <si>
    <t>&lt;Increase&gt; Decrease in marketable securities</t>
  </si>
  <si>
    <t>Investments sold</t>
  </si>
  <si>
    <t>&lt;Investments acquired&gt;</t>
  </si>
  <si>
    <t>Increase in short-term borrowing</t>
  </si>
  <si>
    <t>&lt;Decrease in short-term borrowing&gt;</t>
  </si>
  <si>
    <t>Increase in long-term borrowing</t>
  </si>
  <si>
    <t>&lt;Decrease in long-term borrowing&gt;</t>
  </si>
  <si>
    <t>Issue of capital stock</t>
  </si>
  <si>
    <t>Proceeds from stock option exercises</t>
  </si>
  <si>
    <t>&lt;Dividend payments&gt;</t>
  </si>
  <si>
    <t>Other financing transactions (1)</t>
  </si>
  <si>
    <t>Other financing transactions (2)</t>
  </si>
  <si>
    <t>Cash and cash equivalents, beginning of year</t>
  </si>
  <si>
    <t>Cash and cash equivalents, end of year</t>
  </si>
  <si>
    <t>Statutory tax rate</t>
  </si>
  <si>
    <t xml:space="preserve">Average tax rate implied from income statement data </t>
  </si>
  <si>
    <t>After-tax effects of nonrecurring and unusual items on net income</t>
  </si>
  <si>
    <t>Depreciation expense</t>
  </si>
  <si>
    <t>Preferred stock dividends (total, if any)</t>
  </si>
  <si>
    <t>Common shares outstanding</t>
  </si>
  <si>
    <t>Earnings per share (basic)</t>
  </si>
  <si>
    <t>Common dividends per share</t>
  </si>
  <si>
    <t xml:space="preserve">Other current assets (1) and (2) can be renamed and used for different types of current assets for different firms. </t>
  </si>
  <si>
    <t xml:space="preserve">Other current liabilities (1) and (2) can be renamed and used for different types of current liabilities for different firms. </t>
  </si>
  <si>
    <t xml:space="preserve">Other noncurrent liabilities (1) and (2) can be renamed and used for different types of non-current liabilities for different firms. </t>
  </si>
  <si>
    <t xml:space="preserve">Other operating expenses (1), (2), and (3) can be renamed and used for different types of recurring operating expenses for different firms. </t>
  </si>
  <si>
    <t xml:space="preserve">Other operating income (1) and (2) can be renamed used for different sources of recurring operating income for different firms. </t>
  </si>
  <si>
    <t>Net cash flows for working capital</t>
  </si>
  <si>
    <t>Other net addbacks/subtractions</t>
  </si>
  <si>
    <t>Capital expenditures (net)</t>
  </si>
  <si>
    <t>Other investing transactions</t>
  </si>
  <si>
    <t>Net proceeds from short-term borrowing</t>
  </si>
  <si>
    <t>Net proceeds from long-term borrowing</t>
  </si>
  <si>
    <t>Net proceeds from share issues and repurchases</t>
  </si>
  <si>
    <t>Other financing transactions</t>
  </si>
  <si>
    <t>Common dividends:</t>
  </si>
  <si>
    <t>Preferred dividends:</t>
  </si>
  <si>
    <t>Total dividends:</t>
  </si>
  <si>
    <t>Add back depreciation expense (net)</t>
  </si>
  <si>
    <t>Add back amortization expense (net)</t>
  </si>
  <si>
    <t>&lt;Increase&gt; Decrease in receivables - net</t>
  </si>
  <si>
    <t>Increase &lt;Decrease&gt; in accounts payable - trade</t>
  </si>
  <si>
    <t>Increase &lt;Decrease&gt; in current accrued liabilities</t>
  </si>
  <si>
    <t>Increase &lt;Decrease&gt; in income taxes payable</t>
  </si>
  <si>
    <t>Net change in deferred tax assets and liabilities</t>
  </si>
  <si>
    <t>Increase &lt;Decrease&gt; in long-term accrued liabilities</t>
  </si>
  <si>
    <t>&lt;Increase&gt; Decrease in property, plant, &amp; equip. at cost</t>
  </si>
  <si>
    <t>&lt;Increase&gt; Decrease in amortizable intangible assets (net)</t>
  </si>
  <si>
    <t>&lt;Increase&gt; Decrease in goodwill and nonamort. intangibles</t>
  </si>
  <si>
    <t>&lt;Increase&gt; Decrease in other noncurrent assets (2)</t>
  </si>
  <si>
    <t>Increase &lt;Decrease&gt; in short-term debt</t>
  </si>
  <si>
    <t>Increase &lt;Decrease&gt; in long-term debt</t>
  </si>
  <si>
    <t>Increase &lt;Decrease&gt; in common stock + paid in capital</t>
  </si>
  <si>
    <t>Check: All Estimated Value per Share amounts should be the same, with the possible exception of the share value from the</t>
  </si>
  <si>
    <t xml:space="preserve"> Free Cash Flow for All Debt and Equity model.  See additional comments in cell L266.</t>
  </si>
  <si>
    <t>Present Value Net Dividends</t>
  </si>
  <si>
    <t>Sum of Present Value Net Dividends</t>
  </si>
  <si>
    <t>Present Value of Continuing Value</t>
  </si>
  <si>
    <t>Total Present Value Dividends</t>
  </si>
  <si>
    <t>Present Value Free Cash Flows</t>
  </si>
  <si>
    <t>Sum of Present Value Free Cash Flows</t>
  </si>
  <si>
    <t>Total Present Value Free Cash Flows to Equity</t>
  </si>
  <si>
    <t>Present Value Residual Income</t>
  </si>
  <si>
    <t>Sum of Present Value Residual Income</t>
  </si>
  <si>
    <t>Present Value of Equity</t>
  </si>
  <si>
    <t>Total Present Value of Equity</t>
  </si>
  <si>
    <t>Present Value Residual ROCE times growth</t>
  </si>
  <si>
    <t>Sum of Present Value Residual ROCE times growth</t>
  </si>
  <si>
    <t>Total Present Value Residual ROCE</t>
  </si>
  <si>
    <t>Total Present Value Free Cash Flows to Equity and Debt</t>
  </si>
  <si>
    <t>Payments for acquisitions of intangible assets</t>
  </si>
  <si>
    <t xml:space="preserve">Other investment transactions </t>
  </si>
  <si>
    <t>Other current assets (1)</t>
  </si>
  <si>
    <t>Other noncurrent liabilities (1)</t>
  </si>
  <si>
    <t>Accounts and notes receivable - net</t>
  </si>
  <si>
    <t>Noncontrolling interests</t>
  </si>
  <si>
    <t xml:space="preserve">  Total Equity</t>
  </si>
  <si>
    <t xml:space="preserve"> Total Common Shareholders' Equity</t>
  </si>
  <si>
    <t>Net income attributable to noncontrolling interests</t>
  </si>
  <si>
    <t xml:space="preserve">  Net Income </t>
  </si>
  <si>
    <t xml:space="preserve">  Net Income attributable to common shareholders</t>
  </si>
  <si>
    <t xml:space="preserve">Enter the amount of net income attributable to noncontrolling interests.  Enter amount as a negative number. If the firm reports a net loss attributable to noncontrolling interests, enter the amount as a positive number. </t>
  </si>
  <si>
    <t>This amount usually appears in the Statement of Comprehensive Income.  Enter as a positive or negative number as appropriate.</t>
  </si>
  <si>
    <t>Deferred tax liabilities- noncurrent</t>
  </si>
  <si>
    <t>Accounts payable</t>
  </si>
  <si>
    <t>Other addbacks to &lt;subtractions from&gt; net income</t>
  </si>
  <si>
    <t>Increase &lt;Decrease&gt; in other current liabilities</t>
  </si>
  <si>
    <t>&lt;Increase&gt; Decrease in other current assets</t>
  </si>
  <si>
    <t>&lt;Increase&gt; Decrease in other noncurrent assets</t>
  </si>
  <si>
    <t xml:space="preserve">  Net CF from Operating Activities</t>
  </si>
  <si>
    <t>LT Debt / Total Equity</t>
  </si>
  <si>
    <t>RETURN ON COMMON SHAREHOLDERS' EQUITY ANALYSIS: Alternative Approach to Disaggregation</t>
  </si>
  <si>
    <t>INPUT VARIABLES</t>
  </si>
  <si>
    <t>Net Operating Profit After Tax (NOPAT)</t>
  </si>
  <si>
    <t>Net Financing Expense After Tax</t>
  </si>
  <si>
    <t>Total Revenues</t>
  </si>
  <si>
    <t>Average Net Operating Assets</t>
  </si>
  <si>
    <t>Average Financing Obligations</t>
  </si>
  <si>
    <t>Average Common Equity</t>
  </si>
  <si>
    <t>ROCE</t>
  </si>
  <si>
    <t>Operating ROA (NOPAT/Average NOA)</t>
  </si>
  <si>
    <t>Net Borrowing Rate</t>
  </si>
  <si>
    <t>Spread</t>
  </si>
  <si>
    <t>Leverage</t>
  </si>
  <si>
    <t>Leverage*Spread</t>
  </si>
  <si>
    <t>Profit margin for operating ROA</t>
  </si>
  <si>
    <t>Net operating asset turnover</t>
  </si>
  <si>
    <t>ROCE = Operating ROA+Leverage*Spread</t>
  </si>
  <si>
    <t>Non-recurring operating gains &lt;losses&gt;</t>
  </si>
  <si>
    <t>Other income or gains &lt;Other expenses or losses&gt;</t>
  </si>
  <si>
    <t>Enter income or gain amounts (or expense or loss amounts as negative numbers) that are unusual and non-recurring and outside of normal business operations.</t>
  </si>
  <si>
    <t>Assume 3 percent growth.</t>
  </si>
  <si>
    <t>Current maturities of long-term debt per long-term debt note (Note 9).</t>
  </si>
  <si>
    <t>DIVIDEND and STOCK MARKET-BASED RATIOS:</t>
  </si>
  <si>
    <t>Common Dividends per Share</t>
  </si>
  <si>
    <t>Common Dividend Payout (% of Net Income)</t>
  </si>
  <si>
    <t>Common Dividend Yield (% of Share Price)</t>
  </si>
  <si>
    <t>Assume dividend payout of net income.</t>
  </si>
  <si>
    <t>&lt;Treasury stock&gt; and other equity adjustments</t>
  </si>
  <si>
    <t xml:space="preserve">Include on this line any treasury stock accounts and any items that do not fall within some other shareholders' equity line.  Such items seldom appear in balance sheets of U.S. firms.  Amounts that increase (decrease) total shareholders' equity should be entered as positive (negative) amounts. </t>
  </si>
  <si>
    <t xml:space="preserve">Increase &lt;Decrease&gt; in accum. OCI </t>
  </si>
  <si>
    <t>Increase &lt;Decrease&gt; in treasury stock and other equity adjs.</t>
  </si>
  <si>
    <t>Increase &lt;Decrease&gt; in noncontrolling interests</t>
  </si>
  <si>
    <t>Net CFs - Pref. Stock and Noncontrolling Interests</t>
  </si>
  <si>
    <t>Share price at fiscal year end</t>
  </si>
  <si>
    <t>Increase &lt;Decrease&gt; in preferred stock</t>
  </si>
  <si>
    <t xml:space="preserve">Assume noncontrolling interests are acquired. </t>
  </si>
  <si>
    <t>The Forecasts spreadsheet is programmed to balance the balance sheet by adjusting treasury stock purchases (see forecast box below). The user can alter this assumption by reprogamming the computations to adjust an alternate flexible financial account.</t>
  </si>
  <si>
    <t>The initial adjustment to balance the balance sheet is computed as total assets minus total liabilities and shareholders equity before any adjustments. The initial adjustment amount is then used to adjust treasury stock purchases so that total assets equal total liabilities and equities.</t>
  </si>
  <si>
    <t xml:space="preserve">Negative adjustment amounts indicate the firm has excess capital and can increase treasury stock purchases.  Positive amounts indicate that the firm needs more capital to balance the balance sheet, so treasury stoick purchases have to be reduced, or additional equity capital must be issued.  </t>
  </si>
  <si>
    <t xml:space="preserve">Flexible Financial Account: </t>
  </si>
  <si>
    <t xml:space="preserve">Original Forecast Amounts: </t>
  </si>
  <si>
    <t>Implied adjustments:</t>
  </si>
  <si>
    <t>Total:</t>
  </si>
  <si>
    <t>Adjustment needed to balance the balance sheet, from above.</t>
  </si>
  <si>
    <t>Total Treasury Stock Purchase Amounts</t>
  </si>
  <si>
    <t>Treasury Stock Purchases:</t>
  </si>
  <si>
    <t>Starbucks</t>
  </si>
  <si>
    <t>Long-term investments</t>
  </si>
  <si>
    <t>Insurance Reserves</t>
  </si>
  <si>
    <t>&lt;Store Operating Expenses&gt;</t>
  </si>
  <si>
    <t>&lt;Other Operating Expenses&gt;</t>
  </si>
  <si>
    <t>&lt;Depreciation and Amortization&gt;</t>
  </si>
  <si>
    <t>&lt;General and Administrative Expenses&gt;</t>
  </si>
  <si>
    <t>Income from Equity Investees</t>
  </si>
  <si>
    <t>Increase &lt;Decrease&gt; in deferred revenues</t>
  </si>
  <si>
    <t>Company-operated stores</t>
  </si>
  <si>
    <t>Licensed stores</t>
  </si>
  <si>
    <t>CPG, foodservice and other</t>
  </si>
  <si>
    <t>Growth rates</t>
  </si>
  <si>
    <t>Number of company stores</t>
  </si>
  <si>
    <t>Licensing</t>
  </si>
  <si>
    <t>CPG, Foodservice and Other</t>
  </si>
  <si>
    <t>Starbucks: Store Operating Data:</t>
  </si>
  <si>
    <t>Americas</t>
  </si>
  <si>
    <t>Expectations for net new stores to be opened each year:</t>
  </si>
  <si>
    <t>Net new stores opened during the year:</t>
  </si>
  <si>
    <t>Company-operated:</t>
  </si>
  <si>
    <t>Licensed:</t>
  </si>
  <si>
    <t>Total stores</t>
  </si>
  <si>
    <t>Revenues:</t>
  </si>
  <si>
    <t>Revenues per store/year:</t>
  </si>
  <si>
    <t>Growth rate:</t>
  </si>
  <si>
    <t>EMEA</t>
  </si>
  <si>
    <t>CAP</t>
  </si>
  <si>
    <t>CPG, Foodservice, and Other</t>
  </si>
  <si>
    <t>Growth rates:</t>
  </si>
  <si>
    <t>Amounts from depreciation schedule, Forecast Development worksheet.</t>
  </si>
  <si>
    <t xml:space="preserve">Assume 50% rate of return from equity investees. </t>
  </si>
  <si>
    <t>Assume zero.</t>
  </si>
  <si>
    <t>Assume steady state relative to revenues.</t>
  </si>
  <si>
    <t>Assume random walk, mean zero.</t>
  </si>
  <si>
    <t>Assume ending cash balances equal to 30 days sales.</t>
  </si>
  <si>
    <t>Assume growth with licensing and CPG revenues</t>
  </si>
  <si>
    <t xml:space="preserve">Assume growth with company operated stores. </t>
  </si>
  <si>
    <t>Assume a 28 day payment period consistent with recent years.</t>
  </si>
  <si>
    <t>Assume growth with total revenues.</t>
  </si>
  <si>
    <t>Treasury stock repurchases subtracted from retained earnings, per Starbucks</t>
  </si>
  <si>
    <t>Add net income and subtract dividends and share repurchases; see forecast box below.</t>
  </si>
  <si>
    <t>Portion Reported Separately on Income Statement (95% of total)</t>
  </si>
  <si>
    <t>Portion Reported within COGS on Income Statement (5% of total)</t>
  </si>
  <si>
    <t>Dividends Valuation Sensitivity Analysis:</t>
  </si>
  <si>
    <t>COST OF NONCONTROLLING INTERESTS' CAPITAL</t>
  </si>
  <si>
    <t>Noncontrolling interests capital</t>
  </si>
  <si>
    <t>Earnings attributable to noncontrolling interests</t>
  </si>
  <si>
    <t>Cost of Noncontrolling Interests Parameters:</t>
  </si>
  <si>
    <t xml:space="preserve">FSAP uses the amount of equity capital attributable to noncontrolling interests entered in the most recent balance sheet data in the Forecasts worksheet. The analyst can override this default by entering the market value of noncontrolling interests, if known.  </t>
  </si>
  <si>
    <t xml:space="preserve">FSAP uses the earnings attributable to noncontrolling interests entered in the Forecasts spreadsheet. The analyst can override this default by entering the required rate of return on noncontrolling interests, if known. </t>
  </si>
  <si>
    <t xml:space="preserve">FSAP uses the above parameters to compute the cost of capital atttributable to noncontrolling interests. </t>
  </si>
  <si>
    <t>Weight of noncontrolling interests in capital structure</t>
  </si>
  <si>
    <t>FSAP computes the weight of equity in the capital structure by dividing the market value of equity by the market value of total capital (common equity, debt, preferred stock, and noncontrolling interests).</t>
  </si>
  <si>
    <t>FSAP computes the weight of debt in the capital structure by dividing the value of debt by the market value of total capital (common equity, debt, preferred stock, and noncontrolling interests).</t>
  </si>
  <si>
    <t>FSAP computes the weight of preferred stock in the capital structure by dividing the market value of preferred by the market value of total capital (common equity, debt, preferred stock, and noncontrolling interests).</t>
  </si>
  <si>
    <t>FSAP computes the weight of noncontrolling interests in the capital structure by dividing the book value of noncontrolling interests by the market value of total capital (common equity, debt, preferred stock, and noncontrolling interests).</t>
  </si>
  <si>
    <t xml:space="preserve">FSAP uses the amount of preferred stock entered in the most recent balance sheet data in the Forecasts worksheet. The analyst can override this default by entering the market value of preferred stock, if known.  </t>
  </si>
  <si>
    <t xml:space="preserve">Goodwill </t>
  </si>
  <si>
    <t xml:space="preserve">Equity and cost investments </t>
  </si>
  <si>
    <t>Other assets</t>
  </si>
  <si>
    <t>Other intangible assets</t>
  </si>
  <si>
    <t>Deferred income taxes - noncurrent</t>
  </si>
  <si>
    <t>Deferred income taxes - current</t>
  </si>
  <si>
    <t>Accrued liabilities</t>
  </si>
  <si>
    <t>Accrued litigation charge</t>
  </si>
  <si>
    <t>Stored value card liability</t>
  </si>
  <si>
    <t xml:space="preserve">Long-term debt </t>
  </si>
  <si>
    <t>Other operating expenses (1)</t>
  </si>
  <si>
    <t>Other operating expenses (2)</t>
  </si>
  <si>
    <t>&lt;Share repurchases&gt;</t>
  </si>
  <si>
    <t>Other segment stores:</t>
  </si>
  <si>
    <t>Other segment store revenues</t>
  </si>
  <si>
    <t>(including Americas, CAP, and EMEA)</t>
  </si>
  <si>
    <t>Assume ending inventory equals 56 days cost of goods sold.</t>
  </si>
  <si>
    <t>CAPEX Index</t>
  </si>
  <si>
    <t>Expected Useful Life of PPE for Depreciation</t>
  </si>
  <si>
    <t>Expected Remaining Useful Life of PPE</t>
  </si>
  <si>
    <t xml:space="preserve">Average gross PPE (at cost) divided by depreciation expense.  Average expected useful life (in years) of PPE, assuming straight-line depreciation. </t>
  </si>
  <si>
    <t xml:space="preserve">Net PPE (gross PPE minus accumulated depreciation) by depreciation expense.  Average expected remaining useful life (in years) of PPE, assuming straight-line depreciation. </t>
  </si>
  <si>
    <t>Capital expenditures to acquire PPE divided by depreciation expense.</t>
  </si>
  <si>
    <t>Net Revenues (in millions):</t>
  </si>
  <si>
    <t xml:space="preserve">   Total Net Revenues</t>
  </si>
  <si>
    <t xml:space="preserve">  - build detailed Revenues revenue forecasts</t>
  </si>
  <si>
    <t>Revenues/Average Store</t>
  </si>
  <si>
    <t>Revenue Forecast Development</t>
  </si>
  <si>
    <t>This  revenue forecast development schedule was developed specifically for Starbucks. FSAP users who wish to develop detailed revenues forecasts of other firms should adapt this schedule as necessary to incorporate the other firms' various soruces of revenue.</t>
  </si>
  <si>
    <t>The 53rd week effect (53 weeks/52 weeks)</t>
  </si>
  <si>
    <t>Starbucks: Revenue Forecasts by Segment and Type</t>
  </si>
  <si>
    <t>Number of licensed stores</t>
  </si>
  <si>
    <t>Other Stores (including Teavana)</t>
  </si>
  <si>
    <t>Implied revenue growth rates.</t>
  </si>
  <si>
    <t>Revenue Growth/Average Store</t>
  </si>
  <si>
    <t>Assume 3.0 percent growth.</t>
  </si>
  <si>
    <t xml:space="preserve">Assume steady growth at 5 percent. </t>
  </si>
  <si>
    <t>$1,000 new long-term debt issues in 2016; see debt maturities in Note 9.</t>
  </si>
  <si>
    <t>2016 Notes</t>
  </si>
  <si>
    <t>2018 Notes</t>
  </si>
  <si>
    <t>2021 Notes</t>
  </si>
  <si>
    <t>2022 Notes</t>
  </si>
  <si>
    <t>2023 Notes</t>
  </si>
  <si>
    <t>2026 Notes</t>
  </si>
  <si>
    <t>2045 Notes</t>
  </si>
  <si>
    <t>Face Value Amounts</t>
  </si>
  <si>
    <t>Debt Issues and Maturities:</t>
  </si>
  <si>
    <t>Totals</t>
  </si>
  <si>
    <t>Proportion of Total</t>
  </si>
  <si>
    <t>Stated Interest Rates</t>
  </si>
  <si>
    <t>Weighted Average Interest Rates</t>
  </si>
  <si>
    <t>Long-Term Debt and Weighted-Average Interest Rates</t>
  </si>
  <si>
    <t>Weighted Average Interest Rate Used in Forecasts:</t>
  </si>
  <si>
    <t>Cost of Sales and Occupancy Costs</t>
  </si>
  <si>
    <t>Cost of Sales and Occupancy Cost Projections</t>
  </si>
  <si>
    <t>&lt;Cost of sales and occupancy expense&gt;</t>
  </si>
  <si>
    <t>Average number of company-operated stores</t>
  </si>
  <si>
    <t>Average annual rent per company-operated store</t>
  </si>
  <si>
    <t>as a percent of total revenues</t>
  </si>
  <si>
    <t>Cost of sales (net of rent expense)</t>
  </si>
  <si>
    <t>See Forecast Development worksheet.</t>
  </si>
  <si>
    <t xml:space="preserve">Expected inflation in annual rent </t>
  </si>
  <si>
    <t xml:space="preserve">Cost of Sales and Occupancy Costs: </t>
  </si>
  <si>
    <t>Number of company-operated stores at fye</t>
  </si>
  <si>
    <t>Rent expense (Note 10: Leases)</t>
  </si>
  <si>
    <t>Assume slight decline in store operating expense as a percent of company-operated store revenues.</t>
  </si>
  <si>
    <t>Assume steady percentage of licensed, CPG, Foodservice, and other revenues.</t>
  </si>
  <si>
    <t>Starbucks' Combined Revenue Forecasts</t>
  </si>
  <si>
    <t>Actuals:</t>
  </si>
  <si>
    <t>Projections:</t>
  </si>
  <si>
    <t>Company Operated Stores:</t>
  </si>
  <si>
    <t>Americas:</t>
  </si>
  <si>
    <t>CAP:</t>
  </si>
  <si>
    <t>EMEA:</t>
  </si>
  <si>
    <t>Other Stores:</t>
  </si>
  <si>
    <t>Subtotals:</t>
  </si>
  <si>
    <t>The 53rd Week Effect (53/52):</t>
  </si>
  <si>
    <t>Totals:</t>
  </si>
  <si>
    <t>Licensed Stores:</t>
  </si>
  <si>
    <t>CPG, Foodservice, and Other:</t>
  </si>
  <si>
    <t>Total Net Revenues:</t>
  </si>
  <si>
    <t>Summary: Revenues by Segment and Type:</t>
  </si>
  <si>
    <t>Short-term investments</t>
  </si>
  <si>
    <t>Assume the current portion of deferred tax asets is fully realized in Year +1.</t>
  </si>
  <si>
    <t xml:space="preserve">Assume noncurrent deferred tax assets decrease 10% per year, as tax benefits are realized. </t>
  </si>
  <si>
    <t xml:space="preserve">Assume steady growth at 3 percent. </t>
  </si>
  <si>
    <t>Assume 5 percent growth.</t>
  </si>
  <si>
    <t>Assume growth with revenues.</t>
  </si>
  <si>
    <t>Assume growth with G&amp;A expenses, which grow with revenues.</t>
  </si>
  <si>
    <t>Interest rate earned on average balance in cash and investment securities.</t>
  </si>
  <si>
    <t>Financial Statement Analysis Package (FSAP): Version 9.0</t>
  </si>
  <si>
    <t>Financial Reporting, Financial Statement Analysis, and Valuation: A Strategic Perspective, 9th Edition</t>
  </si>
  <si>
    <t>By Jim Wahlen, Steve Baginski and Mark Bradshaw</t>
  </si>
  <si>
    <t>Dividends and share repurchases</t>
  </si>
  <si>
    <t>Increase &lt;Decrease&gt; in insurance reserves</t>
  </si>
  <si>
    <t xml:space="preserve">Increase &lt;Decrease&gt; in stored value card liabilities </t>
  </si>
  <si>
    <t>&lt;Increase&gt; Decrease in short-term investments</t>
  </si>
  <si>
    <t>&lt;Increase&gt; Decrease in long-term investments</t>
  </si>
  <si>
    <t xml:space="preserve">&lt;Increase&gt; Decrease in other  assets </t>
  </si>
  <si>
    <t xml:space="preserve">Enter the beginning balance in cash and cash equivalents for the first year of data. </t>
  </si>
  <si>
    <t>GROWTH RATES:</t>
  </si>
  <si>
    <t>Net Profit Contol Index</t>
  </si>
  <si>
    <t>The rate of change in net income relative to the rate of change in revenues.</t>
  </si>
  <si>
    <t>Weighted average interest rate on average balance in financial liabilities. See Forecast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</si>
</sst>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0"/>
    <numFmt numFmtId="166" formatCode="_(* #,##0.0_);_(* \(#,##0.0\);_(* &quot;-&quot;??_);_(@_)"/>
    <numFmt numFmtId="167" formatCode="_(&quot;$&quot;* #,##0_);_(&quot;$&quot;* \(#,##0\);_(&quot;$&quot;* &quot;-&quot;??_);_(@_)"/>
    <numFmt numFmtId="168" formatCode="0.000"/>
    <numFmt numFmtId="169" formatCode="#,##0.0"/>
    <numFmt numFmtId="170" formatCode="_(* #,##0_);_(* \(#,##0\);_(* &quot;-&quot;??_);_(@_)"/>
    <numFmt numFmtId="171" formatCode="_(&quot;$&quot;* #,##0.0_);_(&quot;$&quot;* \(#,##0.0\);_(&quot;$&quot;* &quot;-&quot;??_);_(@_)"/>
    <numFmt numFmtId="172" formatCode="0.000_)"/>
    <numFmt numFmtId="173" formatCode="0.0000"/>
    <numFmt numFmtId="174" formatCode="0.00_)"/>
    <numFmt numFmtId="175" formatCode="0.0_)"/>
    <numFmt numFmtId="176" formatCode="0_)"/>
    <numFmt numFmtId="177" formatCode="#,##0.000"/>
    <numFmt numFmtId="178" formatCode="&quot;$&quot;#,##0.0"/>
    <numFmt numFmtId="179" formatCode="_(&quot;$&quot;* #,##0.000_);_(&quot;$&quot;* \(#,##0.000\);_(&quot;$&quot;* &quot;-&quot;??_);_(@_)"/>
    <numFmt numFmtId="180" formatCode="#,##0.0000000000"/>
    <numFmt numFmtId="181" formatCode="_(* #,##0.000_);_(* \(#,##0.000\);_(* &quot;-&quot;??_);_(@_)"/>
    <numFmt numFmtId="182" formatCode="_(* #,##0.0_);_(* \(#,##0.0\);_(* &quot;-&quot;_);_(@_)"/>
    <numFmt numFmtId="183" formatCode="_(* #,##0.000_);_(* \(#,##0.000\);_(* &quot;-&quot;_);_(@_)"/>
    <numFmt numFmtId="184" formatCode="#,##0.00000000000"/>
    <numFmt numFmtId="185" formatCode="_(* #,##0.0_);_(* \(#,##0.0\);_(* &quot;-&quot;?_);_(@_)"/>
    <numFmt numFmtId="186" formatCode="0.000%"/>
    <numFmt numFmtId="187" formatCode="0.0000%"/>
    <numFmt numFmtId="188" formatCode="#,##0.0_);\(#,##0.0\)"/>
  </numFmts>
  <fonts count="32">
    <font>
      <sz val="10"/>
      <name val="Arial"/>
    </font>
    <font>
      <sz val="10"/>
      <name val="Arial"/>
      <family val="2"/>
    </font>
    <font>
      <sz val="8"/>
      <color indexed="81"/>
      <name val="Tahoma"/>
      <family val="2"/>
    </font>
    <font>
      <sz val="10"/>
      <name val="Arial"/>
      <family val="2"/>
    </font>
    <font>
      <b/>
      <sz val="10"/>
      <name val="Arial"/>
      <family val="2"/>
    </font>
    <font>
      <sz val="10"/>
      <name val="Arial"/>
      <family val="2"/>
    </font>
    <font>
      <b/>
      <sz val="10"/>
      <color indexed="12"/>
      <name val="Arial"/>
      <family val="2"/>
    </font>
    <font>
      <sz val="10"/>
      <color indexed="12"/>
      <name val="Arial"/>
      <family val="2"/>
    </font>
    <font>
      <sz val="8"/>
      <name val="Arial"/>
      <family val="2"/>
    </font>
    <font>
      <sz val="7"/>
      <name val="Arial"/>
      <family val="2"/>
    </font>
    <font>
      <sz val="10"/>
      <color indexed="48"/>
      <name val="Arial"/>
      <family val="2"/>
    </font>
    <font>
      <b/>
      <sz val="8"/>
      <name val="Arial"/>
      <family val="2"/>
    </font>
    <font>
      <b/>
      <vertAlign val="superscript"/>
      <sz val="8"/>
      <name val="Arial"/>
      <family val="2"/>
    </font>
    <font>
      <b/>
      <sz val="10"/>
      <color indexed="17"/>
      <name val="Arial"/>
      <family val="2"/>
    </font>
    <font>
      <sz val="10"/>
      <color indexed="10"/>
      <name val="Arial"/>
      <family val="2"/>
    </font>
    <font>
      <b/>
      <u/>
      <sz val="10"/>
      <name val="Arial"/>
      <family val="2"/>
    </font>
    <font>
      <b/>
      <i/>
      <sz val="10"/>
      <color indexed="12"/>
      <name val="Arial"/>
      <family val="2"/>
    </font>
    <font>
      <b/>
      <sz val="10"/>
      <color indexed="10"/>
      <name val="Arial"/>
      <family val="2"/>
    </font>
    <font>
      <b/>
      <i/>
      <sz val="10"/>
      <name val="Arial"/>
      <family val="2"/>
    </font>
    <font>
      <b/>
      <i/>
      <u/>
      <sz val="10"/>
      <name val="Arial"/>
      <family val="2"/>
    </font>
    <font>
      <sz val="8"/>
      <color indexed="10"/>
      <name val="Arial"/>
      <family val="2"/>
    </font>
    <font>
      <sz val="10"/>
      <color indexed="10"/>
      <name val="Arial"/>
      <family val="2"/>
    </font>
    <font>
      <b/>
      <sz val="10"/>
      <color indexed="10"/>
      <name val="Arial"/>
      <family val="2"/>
    </font>
    <font>
      <sz val="10"/>
      <name val="Arial"/>
      <family val="2"/>
    </font>
    <font>
      <u/>
      <sz val="12"/>
      <color indexed="12"/>
      <name val="Arial MT"/>
    </font>
    <font>
      <sz val="10"/>
      <name val="Arial"/>
      <family val="2"/>
    </font>
    <font>
      <b/>
      <sz val="9"/>
      <name val="Arial"/>
      <family val="2"/>
    </font>
    <font>
      <b/>
      <sz val="8"/>
      <color indexed="81"/>
      <name val="Tahoma"/>
      <family val="2"/>
    </font>
    <font>
      <b/>
      <sz val="10"/>
      <color rgb="FF0000FF"/>
      <name val="Arial"/>
      <family val="2"/>
    </font>
    <font>
      <b/>
      <sz val="9"/>
      <color rgb="FF000000"/>
      <name val="Calibri"/>
      <family val="2"/>
    </font>
    <font>
      <b/>
      <sz val="9"/>
      <name val="Calibri"/>
      <family val="2"/>
    </font>
    <font>
      <sz val="9"/>
      <color rgb="FF000000"/>
      <name val="Calibri"/>
      <family val="2"/>
    </font>
  </fonts>
  <fills count="1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22"/>
        <bgColor indexed="64"/>
      </patternFill>
    </fill>
    <fill>
      <patternFill patternType="solid">
        <fgColor indexed="9"/>
        <bgColor indexed="64"/>
      </patternFill>
    </fill>
    <fill>
      <patternFill patternType="solid">
        <fgColor indexed="43"/>
        <bgColor indexed="9"/>
      </patternFill>
    </fill>
    <fill>
      <patternFill patternType="solid">
        <fgColor indexed="9"/>
        <bgColor indexed="9"/>
      </patternFill>
    </fill>
    <fill>
      <patternFill patternType="solid">
        <fgColor indexed="13"/>
        <bgColor indexed="64"/>
      </patternFill>
    </fill>
    <fill>
      <patternFill patternType="solid">
        <fgColor indexed="47"/>
        <bgColor indexed="64"/>
      </patternFill>
    </fill>
    <fill>
      <patternFill patternType="solid">
        <fgColor indexed="51"/>
        <bgColor indexed="64"/>
      </patternFill>
    </fill>
    <fill>
      <patternFill patternType="solid">
        <fgColor rgb="FFFFFF00"/>
        <bgColor indexed="64"/>
      </patternFill>
    </fill>
    <fill>
      <patternFill patternType="solid">
        <fgColor theme="2"/>
        <bgColor indexed="64"/>
      </patternFill>
    </fill>
    <fill>
      <patternFill patternType="solid">
        <fgColor rgb="FFCCFFCC"/>
        <bgColor indexed="64"/>
      </patternFill>
    </fill>
    <fill>
      <patternFill patternType="solid">
        <fgColor theme="0" tint="-4.9989318521683403E-2"/>
        <bgColor indexed="64"/>
      </patternFill>
    </fill>
  </fills>
  <borders count="61">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double">
        <color indexed="64"/>
      </bottom>
      <diagonal/>
    </border>
    <border>
      <left/>
      <right/>
      <top style="thin">
        <color indexed="64"/>
      </top>
      <bottom style="double">
        <color indexed="64"/>
      </bottom>
      <diagonal/>
    </border>
    <border>
      <left/>
      <right/>
      <top style="double">
        <color indexed="64"/>
      </top>
      <bottom style="thin">
        <color indexed="64"/>
      </bottom>
      <diagonal/>
    </border>
    <border>
      <left/>
      <right style="medium">
        <color indexed="64"/>
      </right>
      <top style="thin">
        <color indexed="64"/>
      </top>
      <bottom style="double">
        <color indexed="64"/>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diagonal/>
    </border>
    <border>
      <left/>
      <right style="double">
        <color indexed="64"/>
      </right>
      <top style="thin">
        <color indexed="64"/>
      </top>
      <bottom style="double">
        <color indexed="64"/>
      </bottom>
      <diagonal/>
    </border>
    <border>
      <left style="double">
        <color indexed="64"/>
      </left>
      <right/>
      <top style="thin">
        <color indexed="64"/>
      </top>
      <bottom style="thin">
        <color indexed="64"/>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style="double">
        <color indexed="64"/>
      </left>
      <right style="double">
        <color indexed="64"/>
      </right>
      <top/>
      <bottom/>
      <diagonal/>
    </border>
    <border>
      <left style="double">
        <color indexed="64"/>
      </left>
      <right/>
      <top style="thin">
        <color indexed="64"/>
      </top>
      <bottom/>
      <diagonal/>
    </border>
    <border>
      <left/>
      <right style="double">
        <color indexed="64"/>
      </right>
      <top/>
      <bottom style="thin">
        <color indexed="64"/>
      </bottom>
      <diagonal/>
    </border>
    <border>
      <left/>
      <right style="double">
        <color indexed="64"/>
      </right>
      <top style="thin">
        <color indexed="64"/>
      </top>
      <bottom/>
      <diagonal/>
    </border>
  </borders>
  <cellStyleXfs count="24">
    <xf numFmtId="0" fontId="0" fillId="0" borderId="0"/>
    <xf numFmtId="43" fontId="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5" fillId="0" borderId="0" applyFont="0" applyFill="0" applyBorder="0" applyAlignment="0" applyProtection="0"/>
    <xf numFmtId="44" fontId="1"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25" fillId="0" borderId="0" applyFont="0" applyFill="0" applyBorder="0" applyAlignment="0" applyProtection="0"/>
    <xf numFmtId="0" fontId="24" fillId="0" borderId="0" applyNumberFormat="0" applyFill="0" applyBorder="0" applyAlignment="0" applyProtection="0">
      <alignment vertical="top"/>
      <protection locked="0"/>
    </xf>
    <xf numFmtId="0" fontId="3" fillId="0" borderId="0"/>
    <xf numFmtId="0" fontId="3" fillId="0" borderId="0"/>
    <xf numFmtId="9" fontId="1" fillId="0" borderId="0" applyFont="0" applyFill="0" applyBorder="0" applyAlignment="0" applyProtection="0"/>
    <xf numFmtId="9" fontId="23" fillId="0" borderId="0" applyFont="0" applyFill="0" applyBorder="0" applyAlignment="0" applyProtection="0"/>
    <xf numFmtId="9" fontId="3" fillId="0" borderId="0" applyFont="0" applyFill="0" applyBorder="0" applyAlignment="0" applyProtection="0"/>
    <xf numFmtId="9" fontId="2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3" fillId="0" borderId="0" applyFont="0" applyFill="0" applyBorder="0" applyAlignment="0" applyProtection="0"/>
    <xf numFmtId="9" fontId="25" fillId="0" borderId="0" applyFont="0" applyFill="0" applyBorder="0" applyAlignment="0" applyProtection="0"/>
  </cellStyleXfs>
  <cellXfs count="776">
    <xf numFmtId="0" fontId="0" fillId="0" borderId="0" xfId="0"/>
    <xf numFmtId="3" fontId="4" fillId="2" borderId="1" xfId="0" applyNumberFormat="1" applyFont="1" applyFill="1" applyBorder="1"/>
    <xf numFmtId="3" fontId="4" fillId="2" borderId="2" xfId="0" applyNumberFormat="1" applyFont="1" applyFill="1" applyBorder="1"/>
    <xf numFmtId="3" fontId="4" fillId="2" borderId="3" xfId="0" applyNumberFormat="1" applyFont="1" applyFill="1" applyBorder="1"/>
    <xf numFmtId="3" fontId="5" fillId="0" borderId="4" xfId="0" applyNumberFormat="1" applyFont="1" applyBorder="1"/>
    <xf numFmtId="3" fontId="5" fillId="2" borderId="5" xfId="0" applyNumberFormat="1" applyFont="1" applyFill="1" applyBorder="1"/>
    <xf numFmtId="3" fontId="5" fillId="2" borderId="6" xfId="0" applyNumberFormat="1" applyFont="1" applyFill="1" applyBorder="1"/>
    <xf numFmtId="3" fontId="5" fillId="2" borderId="7" xfId="0" applyNumberFormat="1" applyFont="1" applyFill="1" applyBorder="1"/>
    <xf numFmtId="3" fontId="5" fillId="0" borderId="8" xfId="0" applyNumberFormat="1" applyFont="1" applyBorder="1"/>
    <xf numFmtId="3" fontId="4" fillId="2" borderId="9" xfId="0" applyNumberFormat="1" applyFont="1" applyFill="1" applyBorder="1"/>
    <xf numFmtId="3" fontId="5" fillId="2" borderId="0" xfId="0" applyNumberFormat="1" applyFont="1" applyFill="1" applyBorder="1"/>
    <xf numFmtId="3" fontId="5" fillId="2" borderId="10" xfId="0" applyNumberFormat="1" applyFont="1" applyFill="1" applyBorder="1"/>
    <xf numFmtId="3" fontId="4" fillId="2" borderId="11" xfId="0" applyNumberFormat="1" applyFont="1" applyFill="1" applyBorder="1"/>
    <xf numFmtId="3" fontId="5" fillId="2" borderId="12" xfId="0" applyNumberFormat="1" applyFont="1" applyFill="1" applyBorder="1"/>
    <xf numFmtId="3" fontId="5" fillId="2" borderId="13" xfId="0" applyNumberFormat="1" applyFont="1" applyFill="1" applyBorder="1"/>
    <xf numFmtId="3" fontId="5" fillId="2" borderId="11" xfId="0" applyNumberFormat="1" applyFont="1" applyFill="1" applyBorder="1"/>
    <xf numFmtId="3" fontId="5" fillId="0" borderId="0" xfId="0" applyNumberFormat="1" applyFont="1" applyBorder="1"/>
    <xf numFmtId="0" fontId="5" fillId="0" borderId="0" xfId="0" applyFont="1"/>
    <xf numFmtId="3" fontId="4" fillId="0" borderId="0" xfId="0" applyNumberFormat="1" applyFont="1" applyBorder="1"/>
    <xf numFmtId="3" fontId="5" fillId="0" borderId="14" xfId="0" applyNumberFormat="1" applyFont="1" applyBorder="1"/>
    <xf numFmtId="3" fontId="4" fillId="2" borderId="4" xfId="0" applyNumberFormat="1" applyFont="1" applyFill="1" applyBorder="1"/>
    <xf numFmtId="3" fontId="6" fillId="3" borderId="15" xfId="0" applyNumberFormat="1" applyFont="1" applyFill="1" applyBorder="1" applyProtection="1">
      <protection locked="0"/>
    </xf>
    <xf numFmtId="3" fontId="7" fillId="3" borderId="16" xfId="0" applyNumberFormat="1" applyFont="1" applyFill="1" applyBorder="1" applyProtection="1">
      <protection locked="0"/>
    </xf>
    <xf numFmtId="3" fontId="7" fillId="3" borderId="8" xfId="0" applyNumberFormat="1" applyFont="1" applyFill="1" applyBorder="1" applyProtection="1">
      <protection locked="0"/>
    </xf>
    <xf numFmtId="1" fontId="6" fillId="3" borderId="4" xfId="0" applyNumberFormat="1" applyFont="1" applyFill="1" applyBorder="1" applyProtection="1">
      <protection locked="0"/>
    </xf>
    <xf numFmtId="3" fontId="4" fillId="0" borderId="4" xfId="0" applyNumberFormat="1" applyFont="1" applyFill="1" applyBorder="1"/>
    <xf numFmtId="3" fontId="5" fillId="0" borderId="4" xfId="0" applyNumberFormat="1" applyFont="1" applyFill="1" applyBorder="1" applyProtection="1">
      <protection locked="0"/>
    </xf>
    <xf numFmtId="3" fontId="4" fillId="0" borderId="4" xfId="0" applyNumberFormat="1" applyFont="1" applyBorder="1"/>
    <xf numFmtId="3" fontId="6" fillId="3" borderId="4" xfId="1" applyNumberFormat="1" applyFont="1" applyFill="1" applyBorder="1" applyProtection="1">
      <protection locked="0"/>
    </xf>
    <xf numFmtId="3" fontId="6" fillId="3" borderId="4" xfId="0" applyNumberFormat="1" applyFont="1" applyFill="1" applyBorder="1"/>
    <xf numFmtId="3" fontId="6" fillId="3" borderId="4" xfId="0" applyNumberFormat="1" applyFont="1" applyFill="1" applyBorder="1" applyProtection="1">
      <protection locked="0"/>
    </xf>
    <xf numFmtId="3" fontId="4" fillId="4" borderId="4" xfId="0" applyNumberFormat="1" applyFont="1" applyFill="1" applyBorder="1"/>
    <xf numFmtId="3" fontId="4" fillId="4" borderId="4" xfId="0" applyNumberFormat="1" applyFont="1" applyFill="1" applyBorder="1" applyProtection="1">
      <protection locked="0"/>
    </xf>
    <xf numFmtId="164" fontId="5" fillId="0" borderId="4" xfId="16" applyNumberFormat="1" applyFont="1" applyBorder="1"/>
    <xf numFmtId="3" fontId="5" fillId="0" borderId="4" xfId="0" applyNumberFormat="1" applyFont="1" applyFill="1" applyBorder="1"/>
    <xf numFmtId="3" fontId="6" fillId="0" borderId="4" xfId="1" applyNumberFormat="1" applyFont="1" applyFill="1" applyBorder="1" applyProtection="1">
      <protection locked="0"/>
    </xf>
    <xf numFmtId="3" fontId="5" fillId="0" borderId="4" xfId="0" applyNumberFormat="1" applyFont="1" applyBorder="1" applyProtection="1">
      <protection locked="0"/>
    </xf>
    <xf numFmtId="1" fontId="4" fillId="0" borderId="4" xfId="0" applyNumberFormat="1" applyFont="1" applyBorder="1" applyProtection="1">
      <protection locked="0"/>
    </xf>
    <xf numFmtId="4" fontId="5" fillId="0" borderId="4" xfId="0" applyNumberFormat="1" applyFont="1" applyFill="1" applyBorder="1" applyProtection="1">
      <protection locked="0"/>
    </xf>
    <xf numFmtId="3" fontId="4" fillId="4" borderId="4" xfId="1" applyNumberFormat="1" applyFont="1" applyFill="1" applyBorder="1" applyProtection="1">
      <protection locked="0"/>
    </xf>
    <xf numFmtId="10" fontId="5" fillId="0" borderId="4" xfId="16" applyNumberFormat="1" applyFont="1" applyBorder="1"/>
    <xf numFmtId="164" fontId="6" fillId="3" borderId="4" xfId="16" applyNumberFormat="1" applyFont="1" applyFill="1" applyBorder="1" applyProtection="1">
      <protection locked="0"/>
    </xf>
    <xf numFmtId="164" fontId="4" fillId="0" borderId="4" xfId="16" applyNumberFormat="1" applyFont="1" applyFill="1" applyBorder="1" applyProtection="1">
      <protection locked="0"/>
    </xf>
    <xf numFmtId="3" fontId="4" fillId="0" borderId="4" xfId="1" applyNumberFormat="1" applyFont="1" applyFill="1" applyBorder="1" applyProtection="1">
      <protection locked="0"/>
    </xf>
    <xf numFmtId="4" fontId="6" fillId="3" borderId="4" xfId="1" applyNumberFormat="1" applyFont="1" applyFill="1" applyBorder="1" applyProtection="1">
      <protection locked="0"/>
    </xf>
    <xf numFmtId="3" fontId="4" fillId="4" borderId="4" xfId="0" applyNumberFormat="1" applyFont="1" applyFill="1" applyBorder="1" applyProtection="1">
      <protection hidden="1"/>
    </xf>
    <xf numFmtId="3" fontId="5" fillId="4" borderId="4" xfId="0" applyNumberFormat="1" applyFont="1" applyFill="1" applyBorder="1" applyProtection="1">
      <protection hidden="1"/>
    </xf>
    <xf numFmtId="9" fontId="5" fillId="0" borderId="4" xfId="16" applyFont="1" applyBorder="1"/>
    <xf numFmtId="0" fontId="5" fillId="0" borderId="0" xfId="0" applyFont="1" applyFill="1"/>
    <xf numFmtId="0" fontId="5" fillId="0" borderId="6" xfId="0" applyFont="1" applyFill="1" applyBorder="1"/>
    <xf numFmtId="0" fontId="5" fillId="0" borderId="0" xfId="0" applyFont="1" applyFill="1" applyBorder="1"/>
    <xf numFmtId="3" fontId="5" fillId="0" borderId="6" xfId="0" applyNumberFormat="1" applyFont="1" applyBorder="1"/>
    <xf numFmtId="0" fontId="5" fillId="0" borderId="0" xfId="0" applyFont="1" applyBorder="1"/>
    <xf numFmtId="0" fontId="4" fillId="2" borderId="17" xfId="0" applyFont="1" applyFill="1" applyBorder="1"/>
    <xf numFmtId="0" fontId="4" fillId="2" borderId="6" xfId="0" applyFont="1" applyFill="1" applyBorder="1"/>
    <xf numFmtId="0" fontId="4" fillId="2" borderId="3" xfId="0" applyFont="1" applyFill="1" applyBorder="1"/>
    <xf numFmtId="0" fontId="4" fillId="2" borderId="18" xfId="0" applyFont="1" applyFill="1" applyBorder="1"/>
    <xf numFmtId="0" fontId="4" fillId="2" borderId="19" xfId="0" applyFont="1" applyFill="1" applyBorder="1"/>
    <xf numFmtId="0" fontId="5" fillId="2" borderId="19" xfId="0" applyFont="1" applyFill="1" applyBorder="1"/>
    <xf numFmtId="0" fontId="5" fillId="2" borderId="20" xfId="0" applyFont="1" applyFill="1" applyBorder="1"/>
    <xf numFmtId="0" fontId="5" fillId="0" borderId="14" xfId="0" applyFont="1" applyFill="1" applyBorder="1"/>
    <xf numFmtId="0" fontId="4" fillId="5" borderId="21" xfId="0" applyFont="1" applyFill="1" applyBorder="1"/>
    <xf numFmtId="0" fontId="5" fillId="5" borderId="0" xfId="0" applyFont="1" applyFill="1" applyBorder="1"/>
    <xf numFmtId="0" fontId="5" fillId="5" borderId="22" xfId="0" applyFont="1" applyFill="1" applyBorder="1"/>
    <xf numFmtId="3" fontId="5" fillId="4" borderId="4" xfId="0" applyNumberFormat="1" applyFont="1" applyFill="1" applyBorder="1"/>
    <xf numFmtId="3" fontId="5" fillId="4" borderId="23" xfId="0" applyNumberFormat="1" applyFont="1" applyFill="1" applyBorder="1"/>
    <xf numFmtId="0" fontId="4" fillId="5" borderId="24" xfId="0" applyFont="1" applyFill="1" applyBorder="1"/>
    <xf numFmtId="0" fontId="5" fillId="5" borderId="25" xfId="0" applyFont="1" applyFill="1" applyBorder="1"/>
    <xf numFmtId="0" fontId="5" fillId="5" borderId="26" xfId="0" applyFont="1" applyFill="1" applyBorder="1"/>
    <xf numFmtId="0" fontId="5" fillId="5" borderId="27" xfId="0" applyFont="1" applyFill="1" applyBorder="1"/>
    <xf numFmtId="0" fontId="4" fillId="5" borderId="0" xfId="0" applyFont="1" applyFill="1" applyBorder="1"/>
    <xf numFmtId="0" fontId="5" fillId="5" borderId="12" xfId="0" applyFont="1" applyFill="1" applyBorder="1"/>
    <xf numFmtId="0" fontId="4" fillId="2" borderId="5" xfId="0" applyFont="1" applyFill="1" applyBorder="1"/>
    <xf numFmtId="0" fontId="5" fillId="2" borderId="6" xfId="0" applyFont="1" applyFill="1" applyBorder="1"/>
    <xf numFmtId="0" fontId="5" fillId="2" borderId="10" xfId="0" applyFont="1" applyFill="1" applyBorder="1"/>
    <xf numFmtId="0" fontId="4" fillId="0" borderId="0" xfId="0" applyFont="1" applyFill="1"/>
    <xf numFmtId="0" fontId="4" fillId="2" borderId="28" xfId="0" applyFont="1" applyFill="1" applyBorder="1"/>
    <xf numFmtId="1" fontId="4" fillId="2" borderId="28" xfId="0" applyNumberFormat="1" applyFont="1" applyFill="1" applyBorder="1"/>
    <xf numFmtId="0" fontId="5" fillId="5" borderId="29" xfId="0" applyFont="1" applyFill="1" applyBorder="1"/>
    <xf numFmtId="0" fontId="4" fillId="5" borderId="0" xfId="0" applyFont="1" applyFill="1"/>
    <xf numFmtId="0" fontId="5" fillId="5" borderId="0" xfId="0" applyFont="1" applyFill="1"/>
    <xf numFmtId="0" fontId="5" fillId="0" borderId="4" xfId="0" applyFont="1" applyBorder="1"/>
    <xf numFmtId="164" fontId="4" fillId="0" borderId="4" xfId="0" applyNumberFormat="1" applyFont="1" applyBorder="1"/>
    <xf numFmtId="165" fontId="4" fillId="0" borderId="4" xfId="0" applyNumberFormat="1" applyFont="1" applyBorder="1"/>
    <xf numFmtId="0" fontId="5" fillId="0" borderId="4" xfId="0" quotePrefix="1" applyFont="1" applyBorder="1"/>
    <xf numFmtId="0" fontId="5" fillId="0" borderId="0" xfId="0" quotePrefix="1" applyFont="1" applyBorder="1"/>
    <xf numFmtId="164" fontId="4" fillId="0" borderId="0" xfId="0" applyNumberFormat="1" applyFont="1" applyBorder="1"/>
    <xf numFmtId="164" fontId="4" fillId="0" borderId="29" xfId="0" applyNumberFormat="1" applyFont="1" applyBorder="1"/>
    <xf numFmtId="0" fontId="4" fillId="0" borderId="22" xfId="0" applyFont="1" applyFill="1" applyBorder="1"/>
    <xf numFmtId="0" fontId="5" fillId="0" borderId="4" xfId="0" applyFont="1" applyFill="1" applyBorder="1"/>
    <xf numFmtId="164" fontId="4" fillId="0" borderId="4" xfId="0" applyNumberFormat="1" applyFont="1" applyFill="1" applyBorder="1"/>
    <xf numFmtId="165" fontId="4" fillId="0" borderId="4" xfId="0" applyNumberFormat="1" applyFont="1" applyFill="1" applyBorder="1"/>
    <xf numFmtId="0" fontId="5" fillId="0" borderId="4" xfId="0" quotePrefix="1" applyFont="1" applyFill="1" applyBorder="1"/>
    <xf numFmtId="0" fontId="5" fillId="0" borderId="0" xfId="0" quotePrefix="1" applyFont="1" applyFill="1"/>
    <xf numFmtId="0" fontId="4" fillId="0" borderId="29" xfId="0" applyFont="1" applyFill="1" applyBorder="1"/>
    <xf numFmtId="0" fontId="4" fillId="5" borderId="29" xfId="0" applyFont="1" applyFill="1" applyBorder="1"/>
    <xf numFmtId="0" fontId="5" fillId="5" borderId="0" xfId="0" quotePrefix="1" applyFont="1" applyFill="1"/>
    <xf numFmtId="0" fontId="4" fillId="0" borderId="0" xfId="0" applyFont="1" applyBorder="1"/>
    <xf numFmtId="164" fontId="4" fillId="0" borderId="0" xfId="0" applyNumberFormat="1" applyFont="1" applyFill="1" applyBorder="1"/>
    <xf numFmtId="0" fontId="4" fillId="0" borderId="0" xfId="0" applyFont="1" applyFill="1" applyBorder="1"/>
    <xf numFmtId="165" fontId="5" fillId="0" borderId="0" xfId="0" applyNumberFormat="1" applyFont="1" applyBorder="1"/>
    <xf numFmtId="0" fontId="4" fillId="0" borderId="4" xfId="0" applyFont="1" applyFill="1" applyBorder="1"/>
    <xf numFmtId="0" fontId="4" fillId="0" borderId="4" xfId="0" applyFont="1" applyBorder="1"/>
    <xf numFmtId="0" fontId="4" fillId="2" borderId="24" xfId="0" applyFont="1" applyFill="1" applyBorder="1"/>
    <xf numFmtId="0" fontId="5" fillId="2" borderId="25" xfId="0" applyFont="1" applyFill="1" applyBorder="1"/>
    <xf numFmtId="0" fontId="5" fillId="2" borderId="26" xfId="0" applyFont="1" applyFill="1" applyBorder="1"/>
    <xf numFmtId="2" fontId="4" fillId="0" borderId="4" xfId="0" applyNumberFormat="1" applyFont="1" applyBorder="1"/>
    <xf numFmtId="1" fontId="4" fillId="0" borderId="4" xfId="0" applyNumberFormat="1" applyFont="1" applyBorder="1"/>
    <xf numFmtId="165" fontId="5" fillId="0" borderId="0" xfId="0" applyNumberFormat="1" applyFont="1" applyFill="1"/>
    <xf numFmtId="0" fontId="4" fillId="0" borderId="0" xfId="0" applyFont="1"/>
    <xf numFmtId="10" fontId="4" fillId="0" borderId="4" xfId="16" applyNumberFormat="1" applyFont="1" applyBorder="1"/>
    <xf numFmtId="164" fontId="4" fillId="0" borderId="4" xfId="16" applyNumberFormat="1" applyFont="1" applyBorder="1"/>
    <xf numFmtId="10" fontId="4" fillId="0" borderId="0" xfId="16" applyNumberFormat="1" applyFont="1" applyBorder="1"/>
    <xf numFmtId="164" fontId="5" fillId="0" borderId="4" xfId="0" applyNumberFormat="1" applyFont="1" applyBorder="1"/>
    <xf numFmtId="164" fontId="5" fillId="0" borderId="0" xfId="0" applyNumberFormat="1" applyFont="1" applyFill="1"/>
    <xf numFmtId="0" fontId="8" fillId="5" borderId="0" xfId="0" applyFont="1" applyFill="1" applyAlignment="1">
      <alignment horizontal="center"/>
    </xf>
    <xf numFmtId="0" fontId="9" fillId="5" borderId="0" xfId="0" applyFont="1" applyFill="1" applyAlignment="1">
      <alignment horizontal="center"/>
    </xf>
    <xf numFmtId="0" fontId="9" fillId="5" borderId="0" xfId="0" applyFont="1" applyFill="1"/>
    <xf numFmtId="0" fontId="8" fillId="5" borderId="0" xfId="0" applyFont="1" applyFill="1" applyAlignment="1">
      <alignment horizontal="left"/>
    </xf>
    <xf numFmtId="0" fontId="8" fillId="5" borderId="0" xfId="0" applyFont="1" applyFill="1"/>
    <xf numFmtId="164" fontId="5" fillId="0" borderId="0" xfId="16" applyNumberFormat="1" applyFont="1" applyBorder="1"/>
    <xf numFmtId="0" fontId="5" fillId="0" borderId="12" xfId="0" applyFont="1" applyBorder="1"/>
    <xf numFmtId="164" fontId="5" fillId="0" borderId="12" xfId="16" applyNumberFormat="1" applyFont="1" applyBorder="1"/>
    <xf numFmtId="0" fontId="4" fillId="2" borderId="11" xfId="0" applyFont="1" applyFill="1" applyBorder="1"/>
    <xf numFmtId="0" fontId="5" fillId="2" borderId="12" xfId="0" applyFont="1" applyFill="1" applyBorder="1"/>
    <xf numFmtId="0" fontId="5" fillId="2" borderId="13" xfId="0" applyFont="1" applyFill="1" applyBorder="1"/>
    <xf numFmtId="164" fontId="5" fillId="0" borderId="4" xfId="0" applyNumberFormat="1" applyFont="1" applyBorder="1" applyAlignment="1">
      <alignment horizontal="right"/>
    </xf>
    <xf numFmtId="164" fontId="5" fillId="0" borderId="0" xfId="0" applyNumberFormat="1" applyFont="1"/>
    <xf numFmtId="2" fontId="5" fillId="0" borderId="0" xfId="0" applyNumberFormat="1" applyFont="1" applyFill="1"/>
    <xf numFmtId="165" fontId="5" fillId="0" borderId="0" xfId="0" applyNumberFormat="1" applyFont="1"/>
    <xf numFmtId="164" fontId="4" fillId="0" borderId="4" xfId="0" applyNumberFormat="1" applyFont="1" applyBorder="1" applyAlignment="1">
      <alignment horizontal="right"/>
    </xf>
    <xf numFmtId="164" fontId="5" fillId="0" borderId="0" xfId="0" applyNumberFormat="1" applyFont="1" applyBorder="1" applyAlignment="1">
      <alignment horizontal="right"/>
    </xf>
    <xf numFmtId="0" fontId="5" fillId="2" borderId="25" xfId="0" applyFont="1" applyFill="1" applyBorder="1" applyAlignment="1">
      <alignment horizontal="right"/>
    </xf>
    <xf numFmtId="0" fontId="5" fillId="2" borderId="26" xfId="0" applyFont="1" applyFill="1" applyBorder="1" applyAlignment="1">
      <alignment horizontal="right"/>
    </xf>
    <xf numFmtId="0" fontId="9" fillId="5" borderId="0" xfId="0" applyFont="1" applyFill="1" applyAlignment="1">
      <alignment horizontal="right"/>
    </xf>
    <xf numFmtId="0" fontId="5" fillId="5" borderId="0" xfId="0" applyFont="1" applyFill="1" applyAlignment="1">
      <alignment horizontal="right"/>
    </xf>
    <xf numFmtId="0" fontId="5" fillId="5" borderId="0" xfId="0" applyFont="1" applyFill="1" applyBorder="1" applyAlignment="1">
      <alignment horizontal="right"/>
    </xf>
    <xf numFmtId="0" fontId="8" fillId="5" borderId="0" xfId="0" applyFont="1" applyFill="1" applyAlignment="1">
      <alignment horizontal="right"/>
    </xf>
    <xf numFmtId="3" fontId="4" fillId="5" borderId="0" xfId="0" applyNumberFormat="1" applyFont="1" applyFill="1"/>
    <xf numFmtId="0" fontId="5" fillId="0" borderId="15" xfId="0" applyFont="1" applyBorder="1"/>
    <xf numFmtId="164" fontId="5" fillId="5" borderId="0" xfId="0" applyNumberFormat="1" applyFont="1" applyFill="1" applyBorder="1"/>
    <xf numFmtId="0" fontId="4" fillId="5" borderId="9" xfId="0" applyFont="1" applyFill="1" applyBorder="1"/>
    <xf numFmtId="0" fontId="5" fillId="5" borderId="10" xfId="0" applyFont="1" applyFill="1" applyBorder="1"/>
    <xf numFmtId="0" fontId="10" fillId="5" borderId="9" xfId="0" applyFont="1" applyFill="1" applyBorder="1"/>
    <xf numFmtId="0" fontId="4" fillId="5" borderId="9" xfId="0" applyFont="1" applyFill="1" applyBorder="1" applyAlignment="1">
      <alignment horizontal="right"/>
    </xf>
    <xf numFmtId="0" fontId="4" fillId="5" borderId="14" xfId="0" applyFont="1" applyFill="1" applyBorder="1" applyAlignment="1">
      <alignment horizontal="center"/>
    </xf>
    <xf numFmtId="0" fontId="5" fillId="5" borderId="14" xfId="0" applyFont="1" applyFill="1" applyBorder="1"/>
    <xf numFmtId="0" fontId="5" fillId="0" borderId="9" xfId="0" applyFont="1" applyBorder="1"/>
    <xf numFmtId="1" fontId="4" fillId="5" borderId="0" xfId="0" applyNumberFormat="1" applyFont="1" applyFill="1" applyBorder="1" applyAlignment="1">
      <alignment horizontal="right"/>
    </xf>
    <xf numFmtId="0" fontId="5" fillId="5" borderId="9" xfId="0" applyFont="1" applyFill="1" applyBorder="1" applyAlignment="1">
      <alignment horizontal="right"/>
    </xf>
    <xf numFmtId="164" fontId="5" fillId="0" borderId="0" xfId="0" applyNumberFormat="1" applyFont="1" applyFill="1" applyBorder="1" applyAlignment="1">
      <alignment horizontal="right"/>
    </xf>
    <xf numFmtId="0" fontId="4" fillId="5" borderId="0" xfId="0" applyFont="1" applyFill="1" applyBorder="1" applyAlignment="1">
      <alignment horizontal="right"/>
    </xf>
    <xf numFmtId="165" fontId="5" fillId="5" borderId="0" xfId="0" applyNumberFormat="1" applyFont="1" applyFill="1" applyBorder="1" applyAlignment="1">
      <alignment horizontal="right"/>
    </xf>
    <xf numFmtId="0" fontId="11" fillId="5" borderId="10" xfId="0" applyFont="1" applyFill="1" applyBorder="1"/>
    <xf numFmtId="0" fontId="11" fillId="5" borderId="9" xfId="0" applyFont="1" applyFill="1" applyBorder="1" applyAlignment="1">
      <alignment horizontal="right"/>
    </xf>
    <xf numFmtId="164" fontId="5" fillId="5" borderId="0" xfId="0" applyNumberFormat="1" applyFont="1" applyFill="1" applyBorder="1" applyAlignment="1">
      <alignment horizontal="right"/>
    </xf>
    <xf numFmtId="0" fontId="5" fillId="0" borderId="10" xfId="0" applyFont="1" applyBorder="1"/>
    <xf numFmtId="0" fontId="11" fillId="0" borderId="9" xfId="0" applyFont="1" applyFill="1" applyBorder="1" applyAlignment="1">
      <alignment horizontal="right"/>
    </xf>
    <xf numFmtId="0" fontId="12" fillId="5" borderId="9" xfId="0" applyFont="1" applyFill="1" applyBorder="1" applyAlignment="1">
      <alignment horizontal="right"/>
    </xf>
    <xf numFmtId="0" fontId="11" fillId="0" borderId="9" xfId="0" applyFont="1" applyBorder="1"/>
    <xf numFmtId="3" fontId="5" fillId="5" borderId="0" xfId="0" applyNumberFormat="1" applyFont="1" applyFill="1" applyBorder="1"/>
    <xf numFmtId="164" fontId="5" fillId="5" borderId="0" xfId="16" applyNumberFormat="1" applyFont="1" applyFill="1" applyBorder="1"/>
    <xf numFmtId="0" fontId="5" fillId="5" borderId="9" xfId="0" applyFont="1" applyFill="1" applyBorder="1"/>
    <xf numFmtId="0" fontId="5" fillId="0" borderId="14" xfId="0" applyFont="1" applyBorder="1"/>
    <xf numFmtId="166" fontId="5" fillId="5" borderId="0" xfId="1" applyNumberFormat="1" applyFont="1" applyFill="1" applyBorder="1" applyAlignment="1">
      <alignment horizontal="right"/>
    </xf>
    <xf numFmtId="166" fontId="5" fillId="5" borderId="0" xfId="1" applyNumberFormat="1" applyFont="1" applyFill="1" applyBorder="1"/>
    <xf numFmtId="165" fontId="5" fillId="5" borderId="10" xfId="0" applyNumberFormat="1" applyFont="1" applyFill="1" applyBorder="1"/>
    <xf numFmtId="0" fontId="5" fillId="5" borderId="11" xfId="0" applyFont="1" applyFill="1" applyBorder="1"/>
    <xf numFmtId="0" fontId="5" fillId="5" borderId="13" xfId="0" applyFont="1" applyFill="1" applyBorder="1"/>
    <xf numFmtId="0" fontId="5" fillId="0" borderId="0" xfId="0" applyFont="1" applyFill="1" applyBorder="1" applyAlignment="1">
      <alignment horizontal="right"/>
    </xf>
    <xf numFmtId="1" fontId="4" fillId="0" borderId="0" xfId="0" applyNumberFormat="1" applyFont="1" applyFill="1" applyBorder="1"/>
    <xf numFmtId="0" fontId="8" fillId="0" borderId="0" xfId="0" applyFont="1" applyFill="1" applyBorder="1" applyAlignment="1">
      <alignment horizontal="right"/>
    </xf>
    <xf numFmtId="3" fontId="5" fillId="0" borderId="4" xfId="0" applyNumberFormat="1" applyFont="1" applyBorder="1" applyAlignment="1">
      <alignment horizontal="right"/>
    </xf>
    <xf numFmtId="3" fontId="4" fillId="0" borderId="4" xfId="0" applyNumberFormat="1" applyFont="1" applyBorder="1" applyAlignment="1">
      <alignment horizontal="right"/>
    </xf>
    <xf numFmtId="164" fontId="4" fillId="0" borderId="0" xfId="0" applyNumberFormat="1" applyFont="1" applyFill="1" applyBorder="1" applyAlignment="1">
      <alignment horizontal="right"/>
    </xf>
    <xf numFmtId="3" fontId="4" fillId="2" borderId="30" xfId="0" applyNumberFormat="1" applyFont="1" applyFill="1" applyBorder="1"/>
    <xf numFmtId="0" fontId="5" fillId="2" borderId="2" xfId="0" applyFont="1" applyFill="1" applyBorder="1"/>
    <xf numFmtId="0" fontId="5" fillId="2" borderId="31" xfId="0" applyFont="1" applyFill="1" applyBorder="1"/>
    <xf numFmtId="0" fontId="5" fillId="2" borderId="0" xfId="0" applyFont="1" applyFill="1" applyBorder="1"/>
    <xf numFmtId="0" fontId="5" fillId="0" borderId="0" xfId="0" applyNumberFormat="1" applyFont="1"/>
    <xf numFmtId="0" fontId="4" fillId="2" borderId="15" xfId="0" applyFont="1" applyFill="1" applyBorder="1" applyAlignment="1" applyProtection="1">
      <alignment horizontal="left"/>
    </xf>
    <xf numFmtId="0" fontId="4" fillId="2" borderId="16" xfId="0" applyFont="1" applyFill="1" applyBorder="1" applyProtection="1"/>
    <xf numFmtId="0" fontId="5" fillId="2" borderId="16" xfId="0" applyFont="1" applyFill="1" applyBorder="1" applyProtection="1"/>
    <xf numFmtId="0" fontId="4" fillId="2" borderId="16" xfId="0" applyFont="1" applyFill="1" applyBorder="1"/>
    <xf numFmtId="0" fontId="5" fillId="2" borderId="16" xfId="0" applyFont="1" applyFill="1" applyBorder="1"/>
    <xf numFmtId="0" fontId="5" fillId="2" borderId="8" xfId="0" applyFont="1" applyFill="1" applyBorder="1"/>
    <xf numFmtId="0" fontId="4" fillId="6" borderId="4" xfId="0" applyFont="1" applyFill="1" applyBorder="1" applyAlignment="1" applyProtection="1">
      <alignment horizontal="left"/>
    </xf>
    <xf numFmtId="0" fontId="4" fillId="6" borderId="15" xfId="0" applyFont="1" applyFill="1" applyBorder="1" applyProtection="1"/>
    <xf numFmtId="0" fontId="5" fillId="6" borderId="16" xfId="0" applyFont="1" applyFill="1" applyBorder="1" applyProtection="1"/>
    <xf numFmtId="0" fontId="4" fillId="6" borderId="16" xfId="0" applyFont="1" applyFill="1" applyBorder="1" applyProtection="1"/>
    <xf numFmtId="0" fontId="5" fillId="6" borderId="16" xfId="0" applyFont="1" applyFill="1" applyBorder="1"/>
    <xf numFmtId="0" fontId="5" fillId="6" borderId="8" xfId="0" applyFont="1" applyFill="1" applyBorder="1"/>
    <xf numFmtId="0" fontId="5" fillId="7" borderId="0" xfId="0" applyFont="1" applyFill="1" applyBorder="1" applyProtection="1"/>
    <xf numFmtId="0" fontId="5" fillId="7" borderId="0" xfId="0" applyFont="1" applyFill="1" applyBorder="1"/>
    <xf numFmtId="0" fontId="4" fillId="7" borderId="0" xfId="0" applyFont="1" applyFill="1" applyBorder="1" applyProtection="1"/>
    <xf numFmtId="0" fontId="4" fillId="7" borderId="0" xfId="0" applyFont="1" applyFill="1" applyBorder="1"/>
    <xf numFmtId="0" fontId="6" fillId="7" borderId="0" xfId="0" applyFont="1" applyFill="1" applyBorder="1"/>
    <xf numFmtId="0" fontId="4" fillId="7" borderId="0" xfId="0" applyFont="1" applyFill="1" applyBorder="1" applyAlignment="1">
      <alignment horizontal="right"/>
    </xf>
    <xf numFmtId="0" fontId="7" fillId="7" borderId="0" xfId="0" applyFont="1" applyFill="1" applyBorder="1"/>
    <xf numFmtId="0" fontId="5" fillId="7" borderId="0" xfId="0" applyFont="1" applyFill="1" applyBorder="1" applyAlignment="1">
      <alignment horizontal="right"/>
    </xf>
    <xf numFmtId="164" fontId="6" fillId="3" borderId="4" xfId="16" applyNumberFormat="1" applyFont="1" applyFill="1" applyBorder="1"/>
    <xf numFmtId="164" fontId="5" fillId="0" borderId="4" xfId="0" applyNumberFormat="1" applyFont="1" applyFill="1" applyBorder="1"/>
    <xf numFmtId="0" fontId="5" fillId="5" borderId="0" xfId="0" applyFont="1" applyFill="1" applyBorder="1" applyProtection="1"/>
    <xf numFmtId="0" fontId="13" fillId="5" borderId="32" xfId="0" applyFont="1" applyFill="1" applyBorder="1" applyProtection="1"/>
    <xf numFmtId="0" fontId="5" fillId="5" borderId="32" xfId="0" applyFont="1" applyFill="1" applyBorder="1" applyProtection="1"/>
    <xf numFmtId="0" fontId="5" fillId="5" borderId="32" xfId="0" applyFont="1" applyFill="1" applyBorder="1"/>
    <xf numFmtId="0" fontId="4" fillId="2" borderId="14" xfId="0" applyFont="1" applyFill="1" applyBorder="1" applyProtection="1"/>
    <xf numFmtId="0" fontId="5" fillId="2" borderId="14" xfId="0" applyFont="1" applyFill="1" applyBorder="1" applyProtection="1"/>
    <xf numFmtId="0" fontId="4" fillId="3" borderId="14" xfId="0" applyFont="1" applyFill="1" applyBorder="1"/>
    <xf numFmtId="0" fontId="5" fillId="3" borderId="14" xfId="0" applyFont="1" applyFill="1" applyBorder="1"/>
    <xf numFmtId="0" fontId="4" fillId="5" borderId="0" xfId="0" applyFont="1" applyFill="1" applyBorder="1" applyAlignment="1" applyProtection="1">
      <alignment horizontal="right"/>
    </xf>
    <xf numFmtId="0" fontId="4" fillId="0" borderId="0" xfId="0" applyFont="1" applyBorder="1" applyAlignment="1" applyProtection="1">
      <alignment horizontal="right"/>
    </xf>
    <xf numFmtId="0" fontId="4" fillId="0" borderId="0" xfId="0" applyFont="1" applyBorder="1" applyAlignment="1">
      <alignment horizontal="right"/>
    </xf>
    <xf numFmtId="0" fontId="4" fillId="5" borderId="0" xfId="0" applyFont="1" applyFill="1" applyBorder="1" applyProtection="1"/>
    <xf numFmtId="0" fontId="5" fillId="0" borderId="0" xfId="0" applyFont="1" applyBorder="1" applyProtection="1"/>
    <xf numFmtId="0" fontId="8" fillId="5" borderId="0" xfId="0" applyFont="1" applyFill="1" applyBorder="1" applyAlignment="1" applyProtection="1">
      <alignment horizontal="right"/>
    </xf>
    <xf numFmtId="164" fontId="5" fillId="0" borderId="0" xfId="16" applyNumberFormat="1" applyFont="1" applyFill="1" applyBorder="1" applyProtection="1"/>
    <xf numFmtId="164" fontId="7" fillId="3" borderId="0" xfId="0" applyNumberFormat="1" applyFont="1" applyFill="1" applyBorder="1"/>
    <xf numFmtId="164" fontId="7" fillId="0" borderId="0" xfId="0" applyNumberFormat="1" applyFont="1" applyFill="1" applyBorder="1"/>
    <xf numFmtId="0" fontId="7" fillId="3" borderId="0" xfId="0" applyFont="1" applyFill="1" applyBorder="1"/>
    <xf numFmtId="0" fontId="5" fillId="3" borderId="0" xfId="0" applyFont="1" applyFill="1" applyBorder="1"/>
    <xf numFmtId="164" fontId="5" fillId="0" borderId="0" xfId="16" applyNumberFormat="1" applyFont="1" applyFill="1" applyBorder="1"/>
    <xf numFmtId="0" fontId="5" fillId="5" borderId="0" xfId="0" applyFont="1" applyFill="1" applyBorder="1" applyAlignment="1" applyProtection="1">
      <alignment horizontal="right"/>
    </xf>
    <xf numFmtId="3" fontId="4" fillId="5" borderId="0" xfId="0" applyNumberFormat="1" applyFont="1" applyFill="1" applyBorder="1" applyAlignment="1" applyProtection="1">
      <alignment horizontal="right"/>
    </xf>
    <xf numFmtId="164" fontId="6" fillId="0" borderId="0" xfId="0" applyNumberFormat="1" applyFont="1" applyFill="1" applyBorder="1"/>
    <xf numFmtId="165" fontId="7" fillId="3" borderId="0" xfId="0" applyNumberFormat="1" applyFont="1" applyFill="1" applyBorder="1"/>
    <xf numFmtId="165" fontId="7" fillId="0" borderId="0" xfId="0" applyNumberFormat="1" applyFont="1" applyFill="1" applyBorder="1"/>
    <xf numFmtId="164" fontId="5" fillId="0" borderId="0" xfId="16" applyNumberFormat="1" applyFont="1"/>
    <xf numFmtId="164" fontId="7" fillId="3" borderId="0" xfId="16" applyNumberFormat="1" applyFont="1" applyFill="1" applyBorder="1"/>
    <xf numFmtId="164" fontId="6" fillId="0" borderId="0" xfId="16" applyNumberFormat="1" applyFont="1" applyFill="1" applyBorder="1"/>
    <xf numFmtId="0" fontId="4" fillId="6" borderId="16" xfId="0" applyFont="1" applyFill="1" applyBorder="1" applyAlignment="1" applyProtection="1">
      <alignment horizontal="left"/>
    </xf>
    <xf numFmtId="0" fontId="4" fillId="6" borderId="14" xfId="0" applyFont="1" applyFill="1" applyBorder="1" applyAlignment="1" applyProtection="1">
      <alignment horizontal="left"/>
    </xf>
    <xf numFmtId="0" fontId="4" fillId="2" borderId="14" xfId="0" applyFont="1" applyFill="1" applyBorder="1"/>
    <xf numFmtId="0" fontId="5" fillId="2" borderId="14" xfId="0" applyFont="1" applyFill="1" applyBorder="1"/>
    <xf numFmtId="0" fontId="5" fillId="2" borderId="22" xfId="0" applyFont="1" applyFill="1" applyBorder="1"/>
    <xf numFmtId="0" fontId="4" fillId="7" borderId="0" xfId="0" applyFont="1" applyFill="1" applyBorder="1" applyAlignment="1" applyProtection="1">
      <alignment horizontal="left"/>
    </xf>
    <xf numFmtId="0" fontId="13" fillId="5" borderId="0" xfId="0" applyFont="1" applyFill="1" applyBorder="1" applyProtection="1"/>
    <xf numFmtId="0" fontId="4" fillId="2" borderId="34" xfId="0" applyFont="1" applyFill="1" applyBorder="1" applyProtection="1"/>
    <xf numFmtId="0" fontId="5" fillId="2" borderId="34" xfId="0" applyFont="1" applyFill="1" applyBorder="1" applyProtection="1"/>
    <xf numFmtId="0" fontId="4" fillId="3" borderId="34" xfId="0" applyFont="1" applyFill="1" applyBorder="1"/>
    <xf numFmtId="0" fontId="5" fillId="3" borderId="34" xfId="0" applyFont="1" applyFill="1" applyBorder="1"/>
    <xf numFmtId="0" fontId="5" fillId="0" borderId="0" xfId="0" applyFont="1" applyFill="1" applyBorder="1" applyProtection="1"/>
    <xf numFmtId="3" fontId="4" fillId="0" borderId="0" xfId="0" applyNumberFormat="1" applyFont="1" applyFill="1" applyBorder="1"/>
    <xf numFmtId="1" fontId="7" fillId="0" borderId="0" xfId="0" applyNumberFormat="1" applyFont="1" applyFill="1" applyBorder="1"/>
    <xf numFmtId="1" fontId="6" fillId="0" borderId="0" xfId="0" applyNumberFormat="1" applyFont="1" applyFill="1" applyBorder="1"/>
    <xf numFmtId="1" fontId="5" fillId="0" borderId="0" xfId="0" applyNumberFormat="1" applyFont="1"/>
    <xf numFmtId="165" fontId="6" fillId="0" borderId="0" xfId="0" applyNumberFormat="1" applyFont="1" applyFill="1" applyBorder="1"/>
    <xf numFmtId="9" fontId="7" fillId="3" borderId="0" xfId="16" applyFont="1" applyFill="1" applyBorder="1"/>
    <xf numFmtId="1" fontId="7" fillId="0" borderId="0" xfId="0" applyNumberFormat="1" applyFont="1" applyBorder="1"/>
    <xf numFmtId="164" fontId="6" fillId="0" borderId="0" xfId="16" applyNumberFormat="1" applyFont="1" applyBorder="1"/>
    <xf numFmtId="1" fontId="6" fillId="0" borderId="0" xfId="16" applyNumberFormat="1" applyFont="1" applyFill="1" applyBorder="1"/>
    <xf numFmtId="1" fontId="6" fillId="0" borderId="0" xfId="0" applyNumberFormat="1" applyFont="1" applyBorder="1"/>
    <xf numFmtId="167" fontId="6" fillId="0" borderId="0" xfId="7" applyNumberFormat="1" applyFont="1" applyFill="1" applyBorder="1"/>
    <xf numFmtId="1" fontId="7" fillId="0" borderId="0" xfId="16" applyNumberFormat="1" applyFont="1" applyFill="1" applyBorder="1"/>
    <xf numFmtId="1" fontId="7" fillId="0" borderId="0" xfId="16" applyNumberFormat="1" applyFont="1" applyBorder="1"/>
    <xf numFmtId="9" fontId="7" fillId="0" borderId="0" xfId="16" applyFont="1" applyFill="1" applyBorder="1"/>
    <xf numFmtId="9" fontId="6" fillId="0" borderId="0" xfId="16" applyFont="1" applyFill="1" applyBorder="1"/>
    <xf numFmtId="0" fontId="14" fillId="5" borderId="0" xfId="0" applyFont="1" applyFill="1" applyBorder="1" applyProtection="1"/>
    <xf numFmtId="0" fontId="14" fillId="0" borderId="0" xfId="0" applyFont="1" applyBorder="1" applyProtection="1"/>
    <xf numFmtId="164" fontId="5" fillId="0" borderId="0" xfId="16" applyNumberFormat="1" applyFont="1" applyBorder="1" applyProtection="1"/>
    <xf numFmtId="0" fontId="5" fillId="0" borderId="5" xfId="0" applyFont="1" applyFill="1" applyBorder="1" applyProtection="1"/>
    <xf numFmtId="0" fontId="5" fillId="0" borderId="6" xfId="0" applyFont="1" applyFill="1" applyBorder="1" applyProtection="1"/>
    <xf numFmtId="0" fontId="5" fillId="0" borderId="9" xfId="0" applyFont="1" applyFill="1" applyBorder="1" applyProtection="1"/>
    <xf numFmtId="1" fontId="6" fillId="0" borderId="10" xfId="0" applyNumberFormat="1" applyFont="1" applyFill="1" applyBorder="1"/>
    <xf numFmtId="0" fontId="4" fillId="0" borderId="0" xfId="0" applyFont="1" applyFill="1" applyBorder="1" applyAlignment="1" applyProtection="1">
      <alignment horizontal="right"/>
    </xf>
    <xf numFmtId="164" fontId="4" fillId="0" borderId="0" xfId="16" applyNumberFormat="1" applyFont="1" applyFill="1" applyBorder="1"/>
    <xf numFmtId="164" fontId="7" fillId="0" borderId="0" xfId="16" applyNumberFormat="1" applyFont="1" applyBorder="1"/>
    <xf numFmtId="1" fontId="4" fillId="0" borderId="10" xfId="0" applyNumberFormat="1" applyFont="1" applyFill="1" applyBorder="1"/>
    <xf numFmtId="165" fontId="4" fillId="0" borderId="0" xfId="0" applyNumberFormat="1" applyFont="1" applyFill="1" applyBorder="1"/>
    <xf numFmtId="0" fontId="7" fillId="0" borderId="0" xfId="0" applyFont="1" applyFill="1" applyBorder="1"/>
    <xf numFmtId="165" fontId="7" fillId="0" borderId="0" xfId="16" applyNumberFormat="1" applyFont="1" applyBorder="1"/>
    <xf numFmtId="0" fontId="5" fillId="0" borderId="11" xfId="0" applyFont="1" applyFill="1" applyBorder="1" applyProtection="1"/>
    <xf numFmtId="0" fontId="5" fillId="0" borderId="12" xfId="0" applyFont="1" applyFill="1" applyBorder="1" applyProtection="1"/>
    <xf numFmtId="1" fontId="4" fillId="0" borderId="12" xfId="0" applyNumberFormat="1" applyFont="1" applyFill="1" applyBorder="1"/>
    <xf numFmtId="1" fontId="4" fillId="0" borderId="13" xfId="0" applyNumberFormat="1" applyFont="1" applyFill="1" applyBorder="1"/>
    <xf numFmtId="0" fontId="4" fillId="6" borderId="15" xfId="0" applyFont="1" applyFill="1" applyBorder="1" applyAlignment="1" applyProtection="1">
      <alignment horizontal="left"/>
    </xf>
    <xf numFmtId="0" fontId="4" fillId="6" borderId="0" xfId="0" applyFont="1" applyFill="1" applyBorder="1" applyAlignment="1" applyProtection="1">
      <alignment horizontal="left"/>
    </xf>
    <xf numFmtId="0" fontId="5" fillId="2" borderId="0" xfId="0" applyFont="1" applyFill="1" applyBorder="1" applyProtection="1"/>
    <xf numFmtId="0" fontId="4" fillId="2" borderId="0" xfId="0" applyFont="1" applyFill="1" applyBorder="1"/>
    <xf numFmtId="0" fontId="5" fillId="5" borderId="27" xfId="0" applyFont="1" applyFill="1" applyBorder="1" applyProtection="1"/>
    <xf numFmtId="0" fontId="5" fillId="5" borderId="33" xfId="0" applyFont="1" applyFill="1" applyBorder="1" applyProtection="1"/>
    <xf numFmtId="0" fontId="5" fillId="5" borderId="33" xfId="0" applyFont="1" applyFill="1" applyBorder="1"/>
    <xf numFmtId="0" fontId="4" fillId="0" borderId="0" xfId="0" applyFont="1" applyBorder="1" applyProtection="1"/>
    <xf numFmtId="1" fontId="5" fillId="0" borderId="0" xfId="0" applyNumberFormat="1" applyFont="1" applyBorder="1" applyProtection="1"/>
    <xf numFmtId="1" fontId="14" fillId="0" borderId="0" xfId="0" applyNumberFormat="1" applyFont="1" applyFill="1" applyBorder="1"/>
    <xf numFmtId="1" fontId="5" fillId="0" borderId="0" xfId="0" applyNumberFormat="1" applyFont="1" applyFill="1" applyBorder="1"/>
    <xf numFmtId="0" fontId="5" fillId="5" borderId="33" xfId="0" applyFont="1" applyFill="1" applyBorder="1" applyProtection="1">
      <protection locked="0"/>
    </xf>
    <xf numFmtId="0" fontId="4" fillId="0" borderId="0" xfId="0" applyFont="1" applyFill="1" applyBorder="1" applyAlignment="1">
      <alignment horizontal="right"/>
    </xf>
    <xf numFmtId="1" fontId="4" fillId="5" borderId="0" xfId="0" applyNumberFormat="1" applyFont="1" applyFill="1" applyBorder="1" applyProtection="1"/>
    <xf numFmtId="164" fontId="4" fillId="0" borderId="0" xfId="16" applyNumberFormat="1" applyFont="1" applyBorder="1" applyProtection="1"/>
    <xf numFmtId="164" fontId="4" fillId="0" borderId="0" xfId="16" applyNumberFormat="1" applyFont="1" applyBorder="1"/>
    <xf numFmtId="1" fontId="4" fillId="0" borderId="0" xfId="0" applyNumberFormat="1" applyFont="1" applyBorder="1"/>
    <xf numFmtId="0" fontId="4" fillId="5" borderId="0" xfId="0" applyFont="1" applyFill="1" applyBorder="1" applyAlignment="1" applyProtection="1">
      <alignment horizontal="left"/>
    </xf>
    <xf numFmtId="165" fontId="4" fillId="0" borderId="0" xfId="16" applyNumberFormat="1" applyFont="1" applyBorder="1" applyProtection="1"/>
    <xf numFmtId="165" fontId="4" fillId="0" borderId="0" xfId="0" applyNumberFormat="1" applyFont="1" applyBorder="1"/>
    <xf numFmtId="0" fontId="5" fillId="5" borderId="0" xfId="0" quotePrefix="1" applyFont="1" applyFill="1" applyBorder="1" applyAlignment="1" applyProtection="1">
      <alignment horizontal="right"/>
    </xf>
    <xf numFmtId="165" fontId="4" fillId="0" borderId="0" xfId="0" applyNumberFormat="1" applyFont="1" applyBorder="1" applyProtection="1"/>
    <xf numFmtId="0" fontId="5" fillId="2" borderId="29" xfId="0" applyFont="1" applyFill="1" applyBorder="1"/>
    <xf numFmtId="0" fontId="5" fillId="2" borderId="36" xfId="0" applyFont="1" applyFill="1" applyBorder="1"/>
    <xf numFmtId="0" fontId="4" fillId="2" borderId="37" xfId="0" applyFont="1" applyFill="1" applyBorder="1"/>
    <xf numFmtId="3" fontId="4" fillId="2" borderId="15" xfId="0" applyNumberFormat="1" applyFont="1" applyFill="1" applyBorder="1" applyProtection="1">
      <protection locked="0"/>
    </xf>
    <xf numFmtId="0" fontId="4" fillId="2" borderId="15" xfId="0" applyFont="1" applyFill="1" applyBorder="1"/>
    <xf numFmtId="0" fontId="5" fillId="2" borderId="27" xfId="0" applyFont="1" applyFill="1" applyBorder="1"/>
    <xf numFmtId="0" fontId="5" fillId="0" borderId="16" xfId="0" applyFont="1" applyBorder="1"/>
    <xf numFmtId="170" fontId="4" fillId="0" borderId="0" xfId="1" applyNumberFormat="1" applyFont="1" applyFill="1" applyBorder="1" applyAlignment="1" applyProtection="1">
      <alignment horizontal="right"/>
    </xf>
    <xf numFmtId="0" fontId="4" fillId="0" borderId="0" xfId="0" applyFont="1" applyAlignment="1">
      <alignment horizontal="right"/>
    </xf>
    <xf numFmtId="3" fontId="4" fillId="0" borderId="0" xfId="0" applyNumberFormat="1" applyFont="1"/>
    <xf numFmtId="0" fontId="4" fillId="0" borderId="0" xfId="0" applyFont="1" applyAlignment="1">
      <alignment horizontal="left"/>
    </xf>
    <xf numFmtId="3" fontId="6" fillId="0" borderId="0" xfId="0" applyNumberFormat="1" applyFont="1" applyFill="1" applyBorder="1"/>
    <xf numFmtId="41" fontId="4" fillId="2" borderId="16" xfId="0" applyNumberFormat="1" applyFont="1" applyFill="1" applyBorder="1"/>
    <xf numFmtId="41" fontId="4" fillId="3" borderId="15" xfId="0" applyNumberFormat="1" applyFont="1" applyFill="1" applyBorder="1"/>
    <xf numFmtId="41" fontId="4" fillId="3" borderId="16" xfId="0" applyNumberFormat="1" applyFont="1" applyFill="1" applyBorder="1"/>
    <xf numFmtId="0" fontId="4" fillId="3" borderId="16" xfId="0" applyFont="1" applyFill="1" applyBorder="1"/>
    <xf numFmtId="0" fontId="4" fillId="0" borderId="14" xfId="0" applyFont="1" applyBorder="1"/>
    <xf numFmtId="0" fontId="4" fillId="0" borderId="0" xfId="0" applyFont="1" applyFill="1" applyBorder="1" applyAlignment="1">
      <alignment horizontal="center"/>
    </xf>
    <xf numFmtId="171" fontId="4" fillId="0" borderId="0" xfId="7" applyNumberFormat="1" applyFont="1" applyFill="1" applyBorder="1"/>
    <xf numFmtId="178" fontId="4" fillId="0" borderId="0" xfId="7" applyNumberFormat="1" applyFont="1" applyFill="1" applyBorder="1"/>
    <xf numFmtId="3" fontId="4" fillId="0" borderId="0" xfId="0" applyNumberFormat="1" applyFont="1" applyFill="1" applyBorder="1" applyAlignment="1">
      <alignment horizontal="right"/>
    </xf>
    <xf numFmtId="3" fontId="4" fillId="0" borderId="0" xfId="1" applyNumberFormat="1" applyFont="1" applyFill="1" applyBorder="1"/>
    <xf numFmtId="41" fontId="4" fillId="0" borderId="0" xfId="0" applyNumberFormat="1" applyFont="1" applyFill="1" applyBorder="1"/>
    <xf numFmtId="1" fontId="4" fillId="0" borderId="0" xfId="1" applyNumberFormat="1" applyFont="1" applyFill="1" applyBorder="1"/>
    <xf numFmtId="179" fontId="4" fillId="0" borderId="0" xfId="7" applyNumberFormat="1" applyFont="1" applyFill="1" applyBorder="1"/>
    <xf numFmtId="9" fontId="6" fillId="0" borderId="0" xfId="0" applyNumberFormat="1" applyFont="1" applyFill="1" applyBorder="1"/>
    <xf numFmtId="9" fontId="6" fillId="0" borderId="0" xfId="0" applyNumberFormat="1" applyFont="1"/>
    <xf numFmtId="0" fontId="4" fillId="3" borderId="15" xfId="0" applyFont="1" applyFill="1" applyBorder="1"/>
    <xf numFmtId="0" fontId="4" fillId="0" borderId="0" xfId="0" applyFont="1" applyProtection="1"/>
    <xf numFmtId="0" fontId="15" fillId="0" borderId="0" xfId="0" applyFont="1" applyFill="1" applyBorder="1" applyAlignment="1">
      <alignment horizontal="center"/>
    </xf>
    <xf numFmtId="0" fontId="4" fillId="0" borderId="0" xfId="0" applyFont="1" applyAlignment="1" applyProtection="1">
      <alignment horizontal="left"/>
    </xf>
    <xf numFmtId="42" fontId="4" fillId="0" borderId="0" xfId="0" applyNumberFormat="1" applyFont="1" applyFill="1" applyBorder="1" applyProtection="1"/>
    <xf numFmtId="175" fontId="4" fillId="0" borderId="0" xfId="0" applyNumberFormat="1" applyFont="1" applyFill="1" applyBorder="1" applyProtection="1"/>
    <xf numFmtId="3" fontId="4" fillId="0" borderId="0" xfId="0" applyNumberFormat="1" applyFont="1" applyProtection="1"/>
    <xf numFmtId="3" fontId="4" fillId="0" borderId="14" xfId="0" applyNumberFormat="1" applyFont="1" applyBorder="1" applyProtection="1"/>
    <xf numFmtId="175" fontId="4" fillId="0" borderId="0" xfId="0" applyNumberFormat="1" applyFont="1" applyBorder="1" applyProtection="1"/>
    <xf numFmtId="175" fontId="4" fillId="0" borderId="0" xfId="0" applyNumberFormat="1" applyFont="1" applyProtection="1"/>
    <xf numFmtId="42" fontId="4" fillId="0" borderId="0" xfId="0" applyNumberFormat="1" applyFont="1" applyProtection="1"/>
    <xf numFmtId="42" fontId="4" fillId="0" borderId="0" xfId="0" applyNumberFormat="1" applyFont="1"/>
    <xf numFmtId="165" fontId="4" fillId="0" borderId="0" xfId="0" applyNumberFormat="1" applyFont="1"/>
    <xf numFmtId="175" fontId="5" fillId="0" borderId="0" xfId="0" applyNumberFormat="1" applyFont="1" applyProtection="1"/>
    <xf numFmtId="176" fontId="6" fillId="0" borderId="0" xfId="0" applyNumberFormat="1" applyFont="1" applyFill="1" applyBorder="1" applyProtection="1"/>
    <xf numFmtId="175" fontId="6" fillId="0" borderId="0" xfId="0" applyNumberFormat="1" applyFont="1" applyProtection="1"/>
    <xf numFmtId="0" fontId="16" fillId="0" borderId="0" xfId="0" applyFont="1"/>
    <xf numFmtId="165" fontId="5" fillId="0" borderId="0" xfId="0" applyNumberFormat="1" applyFont="1" applyFill="1" applyBorder="1"/>
    <xf numFmtId="0" fontId="15" fillId="0" borderId="0" xfId="0" applyFont="1" applyAlignment="1">
      <alignment horizontal="center"/>
    </xf>
    <xf numFmtId="165" fontId="17" fillId="0" borderId="0" xfId="0" applyNumberFormat="1" applyFont="1" applyFill="1" applyBorder="1"/>
    <xf numFmtId="169" fontId="17" fillId="0" borderId="0" xfId="0" applyNumberFormat="1" applyFont="1"/>
    <xf numFmtId="165" fontId="17" fillId="2" borderId="4" xfId="0" applyNumberFormat="1" applyFont="1" applyFill="1" applyBorder="1"/>
    <xf numFmtId="0" fontId="5" fillId="2" borderId="3" xfId="0" applyFont="1" applyFill="1" applyBorder="1"/>
    <xf numFmtId="3" fontId="5" fillId="4" borderId="38" xfId="0" applyNumberFormat="1" applyFont="1" applyFill="1" applyBorder="1"/>
    <xf numFmtId="0" fontId="5" fillId="4" borderId="27" xfId="0" applyFont="1" applyFill="1" applyBorder="1"/>
    <xf numFmtId="44" fontId="5" fillId="4" borderId="39" xfId="0" applyNumberFormat="1" applyFont="1" applyFill="1" applyBorder="1"/>
    <xf numFmtId="44" fontId="5" fillId="4" borderId="40" xfId="0" applyNumberFormat="1" applyFont="1" applyFill="1" applyBorder="1"/>
    <xf numFmtId="3" fontId="5" fillId="4" borderId="41" xfId="0" applyNumberFormat="1" applyFont="1" applyFill="1" applyBorder="1"/>
    <xf numFmtId="0" fontId="5" fillId="4" borderId="0" xfId="0" applyFont="1" applyFill="1" applyBorder="1"/>
    <xf numFmtId="44" fontId="5" fillId="4" borderId="29" xfId="0" applyNumberFormat="1" applyFont="1" applyFill="1" applyBorder="1"/>
    <xf numFmtId="44" fontId="5" fillId="4" borderId="42" xfId="0" applyNumberFormat="1" applyFont="1" applyFill="1" applyBorder="1"/>
    <xf numFmtId="3" fontId="5" fillId="4" borderId="21" xfId="0" applyNumberFormat="1" applyFont="1" applyFill="1" applyBorder="1"/>
    <xf numFmtId="0" fontId="5" fillId="4" borderId="14" xfId="0" applyFont="1" applyFill="1" applyBorder="1"/>
    <xf numFmtId="44" fontId="5" fillId="4" borderId="22" xfId="0" applyNumberFormat="1" applyFont="1" applyFill="1" applyBorder="1"/>
    <xf numFmtId="44" fontId="5" fillId="4" borderId="43" xfId="0" applyNumberFormat="1" applyFont="1" applyFill="1" applyBorder="1"/>
    <xf numFmtId="0" fontId="14" fillId="5" borderId="0" xfId="0" applyFont="1" applyFill="1" applyBorder="1"/>
    <xf numFmtId="44" fontId="5" fillId="5" borderId="0" xfId="0" applyNumberFormat="1" applyFont="1" applyFill="1" applyBorder="1"/>
    <xf numFmtId="0" fontId="4" fillId="6" borderId="44" xfId="0" applyFont="1" applyFill="1" applyBorder="1" applyAlignment="1" applyProtection="1">
      <alignment horizontal="left"/>
    </xf>
    <xf numFmtId="0" fontId="5" fillId="2" borderId="34" xfId="0" applyFont="1" applyFill="1" applyBorder="1"/>
    <xf numFmtId="0" fontId="4" fillId="6" borderId="34" xfId="0" applyFont="1" applyFill="1" applyBorder="1" applyProtection="1"/>
    <xf numFmtId="0" fontId="4" fillId="2" borderId="34" xfId="0" applyFont="1" applyFill="1" applyBorder="1"/>
    <xf numFmtId="0" fontId="4" fillId="2" borderId="45" xfId="0" applyFont="1" applyFill="1" applyBorder="1"/>
    <xf numFmtId="0" fontId="4" fillId="6" borderId="46" xfId="0" applyFont="1" applyFill="1" applyBorder="1" applyAlignment="1" applyProtection="1">
      <alignment horizontal="left"/>
    </xf>
    <xf numFmtId="0" fontId="5" fillId="2" borderId="15" xfId="0" applyFont="1" applyFill="1" applyBorder="1"/>
    <xf numFmtId="0" fontId="5" fillId="6" borderId="47" xfId="0" applyFont="1" applyFill="1" applyBorder="1"/>
    <xf numFmtId="0" fontId="5" fillId="2" borderId="4" xfId="0" applyFont="1" applyFill="1" applyBorder="1"/>
    <xf numFmtId="0" fontId="4" fillId="5" borderId="48" xfId="0" applyFont="1" applyFill="1" applyBorder="1"/>
    <xf numFmtId="0" fontId="4" fillId="5" borderId="49" xfId="0" applyFont="1" applyFill="1" applyBorder="1"/>
    <xf numFmtId="0" fontId="4" fillId="3" borderId="50" xfId="0" applyFont="1" applyFill="1" applyBorder="1"/>
    <xf numFmtId="0" fontId="4" fillId="3" borderId="8" xfId="0" applyFont="1" applyFill="1" applyBorder="1"/>
    <xf numFmtId="0" fontId="4" fillId="5" borderId="51" xfId="0" applyFont="1" applyFill="1" applyBorder="1"/>
    <xf numFmtId="0" fontId="4" fillId="5" borderId="52" xfId="0" applyFont="1" applyFill="1" applyBorder="1"/>
    <xf numFmtId="0" fontId="4" fillId="5" borderId="53" xfId="0" applyFont="1" applyFill="1" applyBorder="1"/>
    <xf numFmtId="44" fontId="6" fillId="3" borderId="4" xfId="7" applyFont="1" applyFill="1" applyBorder="1" applyAlignment="1">
      <alignment horizontal="right"/>
    </xf>
    <xf numFmtId="167" fontId="4" fillId="5" borderId="4" xfId="7" applyNumberFormat="1" applyFont="1" applyFill="1" applyBorder="1" applyAlignment="1">
      <alignment horizontal="right"/>
    </xf>
    <xf numFmtId="167" fontId="4" fillId="5" borderId="16" xfId="7" applyNumberFormat="1" applyFont="1" applyFill="1" applyBorder="1" applyAlignment="1">
      <alignment horizontal="right"/>
    </xf>
    <xf numFmtId="164" fontId="4" fillId="5" borderId="4" xfId="16" applyNumberFormat="1" applyFont="1" applyFill="1" applyBorder="1" applyAlignment="1">
      <alignment horizontal="right"/>
    </xf>
    <xf numFmtId="164" fontId="6" fillId="3" borderId="4" xfId="16" applyNumberFormat="1" applyFont="1" applyFill="1" applyBorder="1" applyAlignment="1">
      <alignment horizontal="right"/>
    </xf>
    <xf numFmtId="0" fontId="5" fillId="0" borderId="48" xfId="0" applyFont="1" applyBorder="1"/>
    <xf numFmtId="2" fontId="6" fillId="3" borderId="4" xfId="16" applyNumberFormat="1" applyFont="1" applyFill="1" applyBorder="1"/>
    <xf numFmtId="10" fontId="4" fillId="5" borderId="4" xfId="16" applyNumberFormat="1" applyFont="1" applyFill="1" applyBorder="1"/>
    <xf numFmtId="167" fontId="6" fillId="3" borderId="4" xfId="7" applyNumberFormat="1" applyFont="1" applyFill="1" applyBorder="1"/>
    <xf numFmtId="10" fontId="4" fillId="0" borderId="4" xfId="16" applyNumberFormat="1" applyFont="1" applyFill="1" applyBorder="1"/>
    <xf numFmtId="0" fontId="6" fillId="5" borderId="0" xfId="0" applyFont="1" applyFill="1" applyBorder="1"/>
    <xf numFmtId="2" fontId="4" fillId="5" borderId="4" xfId="0" applyNumberFormat="1" applyFont="1" applyFill="1" applyBorder="1"/>
    <xf numFmtId="0" fontId="4" fillId="5" borderId="54" xfId="0" applyFont="1" applyFill="1" applyBorder="1"/>
    <xf numFmtId="0" fontId="4" fillId="5" borderId="32" xfId="0" applyFont="1" applyFill="1" applyBorder="1"/>
    <xf numFmtId="0" fontId="4" fillId="5" borderId="55" xfId="0" applyFont="1" applyFill="1" applyBorder="1"/>
    <xf numFmtId="0" fontId="4" fillId="6" borderId="56" xfId="0" applyFont="1" applyFill="1" applyBorder="1" applyAlignment="1" applyProtection="1">
      <alignment horizontal="left"/>
    </xf>
    <xf numFmtId="0" fontId="5" fillId="2" borderId="51" xfId="0" applyFont="1" applyFill="1" applyBorder="1"/>
    <xf numFmtId="0" fontId="4" fillId="6" borderId="51" xfId="0" applyFont="1" applyFill="1" applyBorder="1" applyProtection="1"/>
    <xf numFmtId="0" fontId="5" fillId="6" borderId="51" xfId="0" applyFont="1" applyFill="1" applyBorder="1"/>
    <xf numFmtId="0" fontId="5" fillId="6" borderId="45" xfId="0" applyFont="1" applyFill="1" applyBorder="1"/>
    <xf numFmtId="0" fontId="4" fillId="5" borderId="48" xfId="0" applyFont="1" applyFill="1" applyBorder="1" applyAlignment="1">
      <alignment horizontal="left"/>
    </xf>
    <xf numFmtId="0" fontId="4" fillId="5" borderId="0" xfId="0" applyNumberFormat="1" applyFont="1" applyFill="1" applyBorder="1"/>
    <xf numFmtId="0" fontId="4" fillId="5" borderId="53" xfId="0" applyFont="1" applyFill="1" applyBorder="1" applyAlignment="1">
      <alignment horizontal="right"/>
    </xf>
    <xf numFmtId="0" fontId="4" fillId="5" borderId="0" xfId="0" applyFont="1" applyFill="1" applyBorder="1" applyAlignment="1" applyProtection="1">
      <alignment horizontal="center"/>
    </xf>
    <xf numFmtId="0" fontId="4" fillId="5" borderId="53" xfId="0" applyFont="1" applyFill="1" applyBorder="1" applyAlignment="1" applyProtection="1">
      <alignment horizontal="right"/>
    </xf>
    <xf numFmtId="0" fontId="4" fillId="9" borderId="48" xfId="0" applyFont="1" applyFill="1" applyBorder="1" applyProtection="1"/>
    <xf numFmtId="0" fontId="4" fillId="9" borderId="0" xfId="0" applyFont="1" applyFill="1" applyBorder="1"/>
    <xf numFmtId="0" fontId="4" fillId="9" borderId="0" xfId="0" applyFont="1" applyFill="1" applyBorder="1" applyAlignment="1">
      <alignment horizontal="right"/>
    </xf>
    <xf numFmtId="0" fontId="4" fillId="9" borderId="53" xfId="0" applyFont="1" applyFill="1" applyBorder="1" applyAlignment="1">
      <alignment horizontal="right"/>
    </xf>
    <xf numFmtId="0" fontId="5" fillId="0" borderId="0" xfId="0" applyFont="1" applyFill="1" applyBorder="1" applyAlignment="1">
      <alignment horizontal="left"/>
    </xf>
    <xf numFmtId="0" fontId="4" fillId="5" borderId="48" xfId="0" applyFont="1" applyFill="1" applyBorder="1" applyProtection="1"/>
    <xf numFmtId="0" fontId="4" fillId="5" borderId="57" xfId="0" applyFont="1" applyFill="1" applyBorder="1"/>
    <xf numFmtId="169" fontId="4" fillId="5" borderId="0" xfId="0" applyNumberFormat="1" applyFont="1" applyFill="1" applyBorder="1" applyAlignment="1" applyProtection="1">
      <alignment horizontal="right"/>
    </xf>
    <xf numFmtId="169" fontId="4" fillId="5" borderId="53" xfId="0" applyNumberFormat="1" applyFont="1" applyFill="1" applyBorder="1" applyAlignment="1" applyProtection="1">
      <alignment horizontal="right"/>
    </xf>
    <xf numFmtId="0" fontId="4" fillId="9" borderId="0" xfId="0" applyFont="1" applyFill="1" applyBorder="1" applyProtection="1"/>
    <xf numFmtId="169" fontId="4" fillId="9" borderId="0" xfId="0" applyNumberFormat="1" applyFont="1" applyFill="1" applyBorder="1" applyAlignment="1" applyProtection="1">
      <alignment horizontal="right"/>
    </xf>
    <xf numFmtId="172" fontId="4" fillId="5" borderId="0" xfId="0" applyNumberFormat="1" applyFont="1" applyFill="1" applyBorder="1" applyAlignment="1" applyProtection="1">
      <alignment horizontal="right"/>
    </xf>
    <xf numFmtId="172" fontId="4" fillId="5" borderId="53" xfId="0" applyNumberFormat="1" applyFont="1" applyFill="1" applyBorder="1" applyAlignment="1" applyProtection="1">
      <alignment horizontal="right"/>
    </xf>
    <xf numFmtId="169" fontId="4" fillId="5" borderId="53" xfId="0" applyNumberFormat="1" applyFont="1" applyFill="1" applyBorder="1" applyAlignment="1">
      <alignment horizontal="right"/>
    </xf>
    <xf numFmtId="169" fontId="4" fillId="5" borderId="0" xfId="0" applyNumberFormat="1" applyFont="1" applyFill="1" applyBorder="1"/>
    <xf numFmtId="169" fontId="4" fillId="5" borderId="53" xfId="0" applyNumberFormat="1" applyFont="1" applyFill="1" applyBorder="1"/>
    <xf numFmtId="169" fontId="4" fillId="5" borderId="0" xfId="0" applyNumberFormat="1" applyFont="1" applyFill="1" applyBorder="1" applyProtection="1"/>
    <xf numFmtId="44" fontId="4" fillId="8" borderId="0" xfId="7" applyFont="1" applyFill="1" applyBorder="1" applyProtection="1"/>
    <xf numFmtId="44" fontId="4" fillId="5" borderId="0" xfId="0" applyNumberFormat="1" applyFont="1" applyFill="1" applyBorder="1"/>
    <xf numFmtId="2" fontId="4" fillId="5" borderId="32" xfId="0" applyNumberFormat="1" applyFont="1" applyFill="1" applyBorder="1" applyAlignment="1"/>
    <xf numFmtId="2" fontId="4" fillId="5" borderId="55" xfId="0" applyNumberFormat="1" applyFont="1" applyFill="1" applyBorder="1" applyAlignment="1"/>
    <xf numFmtId="169" fontId="4" fillId="5" borderId="0" xfId="0" applyNumberFormat="1" applyFont="1" applyFill="1" applyBorder="1" applyAlignment="1" applyProtection="1"/>
    <xf numFmtId="169" fontId="4" fillId="5" borderId="53" xfId="0" applyNumberFormat="1" applyFont="1" applyFill="1" applyBorder="1" applyAlignment="1" applyProtection="1"/>
    <xf numFmtId="169" fontId="4" fillId="9" borderId="0" xfId="0" applyNumberFormat="1" applyFont="1" applyFill="1" applyBorder="1" applyAlignment="1" applyProtection="1"/>
    <xf numFmtId="169" fontId="4" fillId="9" borderId="53" xfId="0" applyNumberFormat="1" applyFont="1" applyFill="1" applyBorder="1" applyAlignment="1" applyProtection="1"/>
    <xf numFmtId="0" fontId="4" fillId="5" borderId="0" xfId="0" applyFont="1" applyFill="1" applyBorder="1" applyAlignment="1"/>
    <xf numFmtId="0" fontId="4" fillId="5" borderId="53" xfId="0" applyFont="1" applyFill="1" applyBorder="1" applyAlignment="1"/>
    <xf numFmtId="172" fontId="4" fillId="5" borderId="0" xfId="0" applyNumberFormat="1" applyFont="1" applyFill="1" applyBorder="1" applyAlignment="1" applyProtection="1"/>
    <xf numFmtId="172" fontId="4" fillId="5" borderId="53" xfId="0" applyNumberFormat="1" applyFont="1" applyFill="1" applyBorder="1" applyAlignment="1" applyProtection="1"/>
    <xf numFmtId="169" fontId="4" fillId="5" borderId="53" xfId="0" applyNumberFormat="1" applyFont="1" applyFill="1" applyBorder="1" applyAlignment="1"/>
    <xf numFmtId="169" fontId="4" fillId="5" borderId="0" xfId="0" applyNumberFormat="1" applyFont="1" applyFill="1" applyBorder="1" applyAlignment="1"/>
    <xf numFmtId="168" fontId="4" fillId="5" borderId="0" xfId="0" applyNumberFormat="1" applyFont="1" applyFill="1" applyBorder="1" applyAlignment="1" applyProtection="1"/>
    <xf numFmtId="44" fontId="4" fillId="8" borderId="0" xfId="7" applyFont="1" applyFill="1" applyBorder="1" applyAlignment="1" applyProtection="1"/>
    <xf numFmtId="44" fontId="4" fillId="5" borderId="0" xfId="0" applyNumberFormat="1" applyFont="1" applyFill="1" applyBorder="1" applyAlignment="1"/>
    <xf numFmtId="2" fontId="4" fillId="5" borderId="0" xfId="0" applyNumberFormat="1" applyFont="1" applyFill="1" applyBorder="1" applyAlignment="1"/>
    <xf numFmtId="0" fontId="5" fillId="6" borderId="34" xfId="0" applyFont="1" applyFill="1" applyBorder="1"/>
    <xf numFmtId="0" fontId="4" fillId="9" borderId="58" xfId="0" applyFont="1" applyFill="1" applyBorder="1"/>
    <xf numFmtId="0" fontId="4" fillId="9" borderId="27" xfId="0" applyFont="1" applyFill="1" applyBorder="1"/>
    <xf numFmtId="0" fontId="4" fillId="5" borderId="27" xfId="0" applyFont="1" applyFill="1" applyBorder="1"/>
    <xf numFmtId="0" fontId="18" fillId="5" borderId="0" xfId="0" applyFont="1" applyFill="1" applyBorder="1" applyAlignment="1">
      <alignment horizontal="left"/>
    </xf>
    <xf numFmtId="174" fontId="4" fillId="8" borderId="4" xfId="0" applyNumberFormat="1" applyFont="1" applyFill="1" applyBorder="1"/>
    <xf numFmtId="0" fontId="18" fillId="5" borderId="48" xfId="0" applyFont="1" applyFill="1" applyBorder="1" applyAlignment="1">
      <alignment horizontal="right"/>
    </xf>
    <xf numFmtId="10" fontId="4" fillId="5" borderId="29" xfId="16" applyNumberFormat="1" applyFont="1" applyFill="1" applyBorder="1"/>
    <xf numFmtId="2" fontId="4" fillId="0" borderId="0" xfId="0" applyNumberFormat="1" applyFont="1" applyFill="1" applyBorder="1" applyAlignment="1"/>
    <xf numFmtId="9" fontId="4" fillId="5" borderId="0" xfId="16" applyFont="1" applyFill="1" applyBorder="1"/>
    <xf numFmtId="9" fontId="4" fillId="5" borderId="32" xfId="16" applyFont="1" applyFill="1" applyBorder="1"/>
    <xf numFmtId="169" fontId="4" fillId="9" borderId="53" xfId="0" applyNumberFormat="1" applyFont="1" applyFill="1" applyBorder="1" applyAlignment="1" applyProtection="1">
      <alignment horizontal="right"/>
    </xf>
    <xf numFmtId="175" fontId="4" fillId="5" borderId="0" xfId="0" applyNumberFormat="1" applyFont="1" applyFill="1" applyBorder="1" applyAlignment="1" applyProtection="1">
      <alignment horizontal="right"/>
    </xf>
    <xf numFmtId="174" fontId="4" fillId="5" borderId="0" xfId="0" applyNumberFormat="1" applyFont="1" applyFill="1" applyBorder="1" applyAlignment="1" applyProtection="1">
      <alignment horizontal="right"/>
    </xf>
    <xf numFmtId="174" fontId="4" fillId="5" borderId="53" xfId="0" applyNumberFormat="1" applyFont="1" applyFill="1" applyBorder="1" applyAlignment="1" applyProtection="1">
      <alignment horizontal="right"/>
    </xf>
    <xf numFmtId="169" fontId="4" fillId="5" borderId="0" xfId="0" applyNumberFormat="1" applyFont="1" applyFill="1" applyBorder="1" applyAlignment="1">
      <alignment horizontal="right"/>
    </xf>
    <xf numFmtId="0" fontId="18" fillId="5" borderId="0" xfId="0" applyFont="1" applyFill="1" applyBorder="1" applyAlignment="1">
      <alignment horizontal="right"/>
    </xf>
    <xf numFmtId="9" fontId="4" fillId="5" borderId="0" xfId="16" applyFont="1" applyFill="1" applyBorder="1" applyAlignment="1">
      <alignment horizontal="right"/>
    </xf>
    <xf numFmtId="2" fontId="4" fillId="5" borderId="0" xfId="0" applyNumberFormat="1" applyFont="1" applyFill="1" applyBorder="1" applyAlignment="1">
      <alignment horizontal="right"/>
    </xf>
    <xf numFmtId="2" fontId="4" fillId="5" borderId="53" xfId="0" applyNumberFormat="1" applyFont="1" applyFill="1" applyBorder="1" applyAlignment="1">
      <alignment horizontal="right"/>
    </xf>
    <xf numFmtId="168" fontId="4" fillId="5" borderId="0" xfId="0" applyNumberFormat="1" applyFont="1" applyFill="1" applyBorder="1" applyAlignment="1" applyProtection="1">
      <alignment horizontal="right"/>
    </xf>
    <xf numFmtId="44" fontId="4" fillId="8" borderId="0" xfId="7" applyFont="1" applyFill="1" applyBorder="1" applyAlignment="1" applyProtection="1">
      <alignment horizontal="right"/>
    </xf>
    <xf numFmtId="44" fontId="4" fillId="5" borderId="0" xfId="0" applyNumberFormat="1" applyFont="1" applyFill="1" applyBorder="1" applyAlignment="1">
      <alignment horizontal="right"/>
    </xf>
    <xf numFmtId="9" fontId="4" fillId="5" borderId="51" xfId="16" applyFont="1" applyFill="1" applyBorder="1"/>
    <xf numFmtId="2" fontId="4" fillId="5" borderId="51" xfId="0" applyNumberFormat="1" applyFont="1" applyFill="1" applyBorder="1" applyAlignment="1"/>
    <xf numFmtId="2" fontId="4" fillId="5" borderId="53" xfId="0" applyNumberFormat="1" applyFont="1" applyFill="1" applyBorder="1" applyAlignment="1"/>
    <xf numFmtId="0" fontId="4" fillId="5" borderId="60" xfId="0" applyFont="1" applyFill="1" applyBorder="1"/>
    <xf numFmtId="176" fontId="4" fillId="5" borderId="0" xfId="0" applyNumberFormat="1" applyFont="1" applyFill="1" applyBorder="1" applyAlignment="1" applyProtection="1">
      <alignment horizontal="right"/>
    </xf>
    <xf numFmtId="176" fontId="4" fillId="5" borderId="53" xfId="0" applyNumberFormat="1" applyFont="1" applyFill="1" applyBorder="1" applyAlignment="1" applyProtection="1">
      <alignment horizontal="right"/>
    </xf>
    <xf numFmtId="164" fontId="4" fillId="5" borderId="0" xfId="16" applyNumberFormat="1" applyFont="1" applyFill="1" applyBorder="1" applyAlignment="1" applyProtection="1">
      <alignment horizontal="right"/>
    </xf>
    <xf numFmtId="164" fontId="4" fillId="5" borderId="53" xfId="16" applyNumberFormat="1" applyFont="1" applyFill="1" applyBorder="1" applyAlignment="1" applyProtection="1">
      <alignment horizontal="right"/>
    </xf>
    <xf numFmtId="0" fontId="4" fillId="9" borderId="48" xfId="0" applyFont="1" applyFill="1" applyBorder="1"/>
    <xf numFmtId="164" fontId="4" fillId="9" borderId="0" xfId="16" applyNumberFormat="1" applyFont="1" applyFill="1" applyBorder="1" applyAlignment="1" applyProtection="1">
      <alignment horizontal="right"/>
    </xf>
    <xf numFmtId="164" fontId="4" fillId="9" borderId="53" xfId="16" applyNumberFormat="1" applyFont="1" applyFill="1" applyBorder="1" applyAlignment="1" applyProtection="1">
      <alignment horizontal="right"/>
    </xf>
    <xf numFmtId="177" fontId="4" fillId="5" borderId="0" xfId="0" applyNumberFormat="1" applyFont="1" applyFill="1" applyBorder="1" applyAlignment="1" applyProtection="1">
      <alignment horizontal="right"/>
    </xf>
    <xf numFmtId="177" fontId="4" fillId="5" borderId="53" xfId="0" applyNumberFormat="1" applyFont="1" applyFill="1" applyBorder="1" applyAlignment="1" applyProtection="1"/>
    <xf numFmtId="4" fontId="4" fillId="5" borderId="0" xfId="0" applyNumberFormat="1" applyFont="1" applyFill="1" applyBorder="1" applyAlignment="1" applyProtection="1">
      <alignment horizontal="right"/>
    </xf>
    <xf numFmtId="4" fontId="4" fillId="5" borderId="0" xfId="0" applyNumberFormat="1" applyFont="1" applyFill="1" applyBorder="1" applyAlignment="1">
      <alignment horizontal="right"/>
    </xf>
    <xf numFmtId="0" fontId="18" fillId="5" borderId="53" xfId="0" applyFont="1" applyFill="1" applyBorder="1" applyAlignment="1">
      <alignment horizontal="right"/>
    </xf>
    <xf numFmtId="165" fontId="4" fillId="5" borderId="0" xfId="0" applyNumberFormat="1" applyFont="1" applyFill="1" applyBorder="1" applyAlignment="1">
      <alignment horizontal="right"/>
    </xf>
    <xf numFmtId="177" fontId="4" fillId="5" borderId="0" xfId="0" applyNumberFormat="1" applyFont="1" applyFill="1" applyBorder="1" applyAlignment="1">
      <alignment horizontal="right"/>
    </xf>
    <xf numFmtId="0" fontId="16" fillId="5" borderId="0" xfId="0" applyFont="1" applyFill="1" applyBorder="1"/>
    <xf numFmtId="0" fontId="19" fillId="5" borderId="0" xfId="0" applyFont="1" applyFill="1" applyBorder="1" applyAlignment="1" applyProtection="1">
      <alignment horizontal="center"/>
    </xf>
    <xf numFmtId="0" fontId="4" fillId="5" borderId="48" xfId="0" quotePrefix="1" applyFont="1" applyFill="1" applyBorder="1" applyProtection="1"/>
    <xf numFmtId="169" fontId="4" fillId="5" borderId="0" xfId="7" applyNumberFormat="1" applyFont="1" applyFill="1" applyBorder="1" applyAlignment="1"/>
    <xf numFmtId="169" fontId="4" fillId="5" borderId="53" xfId="7" applyNumberFormat="1" applyFont="1" applyFill="1" applyBorder="1" applyAlignment="1"/>
    <xf numFmtId="168" fontId="4" fillId="5" borderId="0" xfId="0" applyNumberFormat="1" applyFont="1" applyFill="1" applyBorder="1" applyAlignment="1"/>
    <xf numFmtId="168" fontId="4" fillId="5" borderId="53" xfId="0" applyNumberFormat="1" applyFont="1" applyFill="1" applyBorder="1" applyAlignment="1"/>
    <xf numFmtId="173" fontId="4" fillId="5" borderId="0" xfId="0" applyNumberFormat="1" applyFont="1" applyFill="1" applyBorder="1" applyAlignment="1" applyProtection="1"/>
    <xf numFmtId="3" fontId="6" fillId="3" borderId="15" xfId="1" applyNumberFormat="1" applyFont="1" applyFill="1" applyBorder="1" applyProtection="1">
      <protection locked="0"/>
    </xf>
    <xf numFmtId="3" fontId="6" fillId="0" borderId="41" xfId="1" applyNumberFormat="1" applyFont="1" applyFill="1" applyBorder="1" applyProtection="1">
      <protection locked="0"/>
    </xf>
    <xf numFmtId="3" fontId="5" fillId="2" borderId="9" xfId="0" applyNumberFormat="1" applyFont="1" applyFill="1" applyBorder="1"/>
    <xf numFmtId="3" fontId="5" fillId="0" borderId="39" xfId="0" applyNumberFormat="1" applyFont="1" applyBorder="1"/>
    <xf numFmtId="3" fontId="5" fillId="0" borderId="40" xfId="0" applyNumberFormat="1" applyFont="1" applyBorder="1"/>
    <xf numFmtId="9" fontId="4" fillId="0" borderId="0" xfId="16" applyFont="1" applyFill="1" applyBorder="1"/>
    <xf numFmtId="9" fontId="4" fillId="0" borderId="0" xfId="16" applyFont="1" applyFill="1" applyBorder="1" applyAlignment="1"/>
    <xf numFmtId="9" fontId="4" fillId="0" borderId="0" xfId="16" applyFont="1" applyFill="1" applyBorder="1" applyAlignment="1">
      <alignment horizontal="right"/>
    </xf>
    <xf numFmtId="180" fontId="4" fillId="5" borderId="0" xfId="0" applyNumberFormat="1" applyFont="1" applyFill="1" applyBorder="1" applyAlignment="1" applyProtection="1">
      <alignment horizontal="right"/>
    </xf>
    <xf numFmtId="3" fontId="3" fillId="0" borderId="4" xfId="0" applyNumberFormat="1" applyFont="1" applyBorder="1"/>
    <xf numFmtId="3" fontId="3" fillId="0" borderId="4" xfId="0" applyNumberFormat="1" applyFont="1" applyFill="1" applyBorder="1"/>
    <xf numFmtId="3" fontId="3" fillId="0" borderId="4" xfId="0" applyNumberFormat="1" applyFont="1" applyFill="1" applyBorder="1" applyAlignment="1">
      <alignment wrapText="1"/>
    </xf>
    <xf numFmtId="0" fontId="3" fillId="0" borderId="4" xfId="0" applyFont="1" applyBorder="1"/>
    <xf numFmtId="0" fontId="3" fillId="5" borderId="0" xfId="0" applyFont="1" applyFill="1" applyBorder="1" applyProtection="1"/>
    <xf numFmtId="0" fontId="4" fillId="0" borderId="14" xfId="0" applyFont="1" applyBorder="1" applyAlignment="1">
      <alignment horizontal="right"/>
    </xf>
    <xf numFmtId="0" fontId="21" fillId="0" borderId="0" xfId="0" applyFont="1"/>
    <xf numFmtId="169" fontId="4" fillId="3" borderId="4" xfId="0" applyNumberFormat="1" applyFont="1" applyFill="1" applyBorder="1" applyAlignment="1">
      <alignment horizontal="right"/>
    </xf>
    <xf numFmtId="167" fontId="4" fillId="3" borderId="4" xfId="7" applyNumberFormat="1" applyFont="1" applyFill="1" applyBorder="1"/>
    <xf numFmtId="164" fontId="4" fillId="3" borderId="4" xfId="16" applyNumberFormat="1" applyFont="1" applyFill="1" applyBorder="1"/>
    <xf numFmtId="171" fontId="5" fillId="0" borderId="4" xfId="7" applyNumberFormat="1" applyFont="1" applyBorder="1"/>
    <xf numFmtId="3" fontId="22" fillId="0" borderId="4" xfId="0" applyNumberFormat="1" applyFont="1" applyBorder="1"/>
    <xf numFmtId="3" fontId="3" fillId="0" borderId="4" xfId="0" applyNumberFormat="1" applyFont="1" applyFill="1" applyBorder="1" applyProtection="1">
      <protection locked="0"/>
    </xf>
    <xf numFmtId="3" fontId="3" fillId="0" borderId="4" xfId="0" applyNumberFormat="1" applyFont="1" applyBorder="1" applyProtection="1">
      <protection locked="0"/>
    </xf>
    <xf numFmtId="3" fontId="6" fillId="5" borderId="4" xfId="1" applyNumberFormat="1" applyFont="1" applyFill="1" applyBorder="1" applyProtection="1">
      <protection locked="0"/>
    </xf>
    <xf numFmtId="4" fontId="4" fillId="0" borderId="4" xfId="1" applyNumberFormat="1" applyFont="1" applyFill="1" applyBorder="1" applyProtection="1">
      <protection locked="0"/>
    </xf>
    <xf numFmtId="3" fontId="3" fillId="0" borderId="4" xfId="1" applyNumberFormat="1" applyFont="1" applyFill="1" applyBorder="1" applyProtection="1">
      <protection locked="0"/>
    </xf>
    <xf numFmtId="0" fontId="4" fillId="0" borderId="27" xfId="0" applyFont="1" applyBorder="1"/>
    <xf numFmtId="164" fontId="4" fillId="0" borderId="27" xfId="0" applyNumberFormat="1" applyFont="1" applyBorder="1"/>
    <xf numFmtId="0" fontId="5" fillId="0" borderId="21" xfId="0" applyFont="1" applyBorder="1"/>
    <xf numFmtId="164" fontId="5" fillId="0" borderId="12" xfId="0" applyNumberFormat="1" applyFont="1" applyBorder="1"/>
    <xf numFmtId="164" fontId="3" fillId="0" borderId="4" xfId="0" applyNumberFormat="1" applyFont="1" applyBorder="1"/>
    <xf numFmtId="0" fontId="4" fillId="4" borderId="4" xfId="0" applyFont="1" applyFill="1" applyBorder="1"/>
    <xf numFmtId="164" fontId="4" fillId="4" borderId="4" xfId="0" applyNumberFormat="1" applyFont="1" applyFill="1" applyBorder="1"/>
    <xf numFmtId="164" fontId="3" fillId="0" borderId="4" xfId="16" applyNumberFormat="1" applyFont="1" applyBorder="1"/>
    <xf numFmtId="164" fontId="4" fillId="4" borderId="4" xfId="16" applyNumberFormat="1" applyFont="1" applyFill="1" applyBorder="1"/>
    <xf numFmtId="164" fontId="4" fillId="4" borderId="4" xfId="0" applyNumberFormat="1" applyFont="1" applyFill="1" applyBorder="1" applyAlignment="1">
      <alignment horizontal="right"/>
    </xf>
    <xf numFmtId="164" fontId="3" fillId="0" borderId="4" xfId="0" applyNumberFormat="1" applyFont="1" applyBorder="1" applyAlignment="1">
      <alignment horizontal="right"/>
    </xf>
    <xf numFmtId="0" fontId="4" fillId="4" borderId="15" xfId="0" applyFont="1" applyFill="1" applyBorder="1"/>
    <xf numFmtId="164" fontId="4" fillId="0" borderId="0" xfId="0" applyNumberFormat="1" applyFont="1" applyBorder="1" applyAlignment="1">
      <alignment horizontal="right"/>
    </xf>
    <xf numFmtId="0" fontId="3" fillId="0" borderId="15" xfId="0" applyFont="1" applyBorder="1"/>
    <xf numFmtId="0" fontId="3" fillId="0" borderId="4" xfId="0" applyFont="1" applyFill="1" applyBorder="1"/>
    <xf numFmtId="164" fontId="3" fillId="0" borderId="4" xfId="0" applyNumberFormat="1" applyFont="1" applyFill="1" applyBorder="1" applyAlignment="1">
      <alignment horizontal="right"/>
    </xf>
    <xf numFmtId="164" fontId="4" fillId="0" borderId="21" xfId="0" applyNumberFormat="1" applyFont="1" applyBorder="1" applyAlignment="1">
      <alignment horizontal="right"/>
    </xf>
    <xf numFmtId="164" fontId="4" fillId="0" borderId="14" xfId="0" applyNumberFormat="1" applyFont="1" applyBorder="1" applyAlignment="1">
      <alignment horizontal="right"/>
    </xf>
    <xf numFmtId="0" fontId="5" fillId="5" borderId="21" xfId="0" applyFont="1" applyFill="1" applyBorder="1"/>
    <xf numFmtId="170" fontId="5" fillId="5" borderId="0" xfId="1" applyNumberFormat="1" applyFont="1" applyFill="1" applyBorder="1" applyAlignment="1">
      <alignment horizontal="right"/>
    </xf>
    <xf numFmtId="168" fontId="5" fillId="5" borderId="0" xfId="0" applyNumberFormat="1" applyFont="1" applyFill="1" applyBorder="1" applyAlignment="1">
      <alignment horizontal="right"/>
    </xf>
    <xf numFmtId="0" fontId="3" fillId="0" borderId="0" xfId="0" applyFont="1" applyFill="1"/>
    <xf numFmtId="3" fontId="5" fillId="0" borderId="0" xfId="0" applyNumberFormat="1" applyFont="1" applyFill="1"/>
    <xf numFmtId="181" fontId="5" fillId="5" borderId="0" xfId="1" applyNumberFormat="1" applyFont="1" applyFill="1" applyBorder="1" applyAlignment="1">
      <alignment horizontal="right"/>
    </xf>
    <xf numFmtId="3" fontId="3" fillId="5" borderId="0" xfId="0" applyNumberFormat="1" applyFont="1" applyFill="1" applyBorder="1" applyAlignment="1">
      <alignment horizontal="right"/>
    </xf>
    <xf numFmtId="181" fontId="5" fillId="5" borderId="0" xfId="0" applyNumberFormat="1" applyFont="1" applyFill="1" applyBorder="1"/>
    <xf numFmtId="173" fontId="4" fillId="0" borderId="0" xfId="0" applyNumberFormat="1" applyFont="1" applyFill="1" applyBorder="1"/>
    <xf numFmtId="0" fontId="3" fillId="0" borderId="0" xfId="0" applyFont="1"/>
    <xf numFmtId="44" fontId="4" fillId="0" borderId="4" xfId="7" applyFont="1" applyBorder="1"/>
    <xf numFmtId="169" fontId="7" fillId="3" borderId="0" xfId="1" applyNumberFormat="1" applyFont="1" applyFill="1" applyBorder="1"/>
    <xf numFmtId="164" fontId="8" fillId="0" borderId="0" xfId="16" applyNumberFormat="1" applyFont="1" applyFill="1" applyBorder="1" applyProtection="1"/>
    <xf numFmtId="164" fontId="8" fillId="0" borderId="0" xfId="16" applyNumberFormat="1" applyFont="1" applyFill="1" applyBorder="1"/>
    <xf numFmtId="0" fontId="8" fillId="0" borderId="0" xfId="0" applyFont="1"/>
    <xf numFmtId="0" fontId="20" fillId="5" borderId="0" xfId="0" applyFont="1" applyFill="1" applyBorder="1" applyProtection="1"/>
    <xf numFmtId="0" fontId="20" fillId="0" borderId="0" xfId="0" applyFont="1" applyBorder="1" applyProtection="1"/>
    <xf numFmtId="1" fontId="20" fillId="0" borderId="0" xfId="0" applyNumberFormat="1" applyFont="1" applyBorder="1"/>
    <xf numFmtId="0" fontId="8" fillId="0" borderId="0" xfId="0" applyNumberFormat="1" applyFont="1"/>
    <xf numFmtId="164" fontId="5" fillId="0" borderId="0" xfId="16" applyNumberFormat="1" applyFont="1" applyFill="1"/>
    <xf numFmtId="3" fontId="7" fillId="3" borderId="0" xfId="1" applyNumberFormat="1" applyFont="1" applyFill="1" applyBorder="1"/>
    <xf numFmtId="173" fontId="4" fillId="5" borderId="0" xfId="0" applyNumberFormat="1" applyFont="1" applyFill="1" applyBorder="1" applyProtection="1"/>
    <xf numFmtId="165" fontId="7" fillId="3" borderId="0" xfId="16" applyNumberFormat="1" applyFont="1" applyFill="1" applyBorder="1"/>
    <xf numFmtId="1" fontId="6" fillId="0" borderId="12" xfId="0" applyNumberFormat="1" applyFont="1" applyFill="1" applyBorder="1"/>
    <xf numFmtId="1" fontId="4" fillId="0" borderId="0" xfId="0" applyNumberFormat="1" applyFont="1" applyFill="1" applyBorder="1" applyAlignment="1" applyProtection="1">
      <alignment horizontal="right"/>
    </xf>
    <xf numFmtId="0" fontId="5" fillId="0" borderId="6" xfId="0" applyFont="1" applyBorder="1"/>
    <xf numFmtId="0" fontId="4" fillId="0" borderId="6" xfId="0" applyFont="1" applyFill="1" applyBorder="1" applyAlignment="1" applyProtection="1">
      <alignment horizontal="right"/>
    </xf>
    <xf numFmtId="1" fontId="4" fillId="0" borderId="2" xfId="0" applyNumberFormat="1" applyFont="1" applyFill="1" applyBorder="1"/>
    <xf numFmtId="1" fontId="4" fillId="0" borderId="7" xfId="0" applyNumberFormat="1" applyFont="1" applyFill="1" applyBorder="1"/>
    <xf numFmtId="169" fontId="6" fillId="3" borderId="4" xfId="1" applyNumberFormat="1" applyFont="1" applyFill="1" applyBorder="1" applyProtection="1">
      <protection locked="0"/>
    </xf>
    <xf numFmtId="1" fontId="5" fillId="4" borderId="4" xfId="0" applyNumberFormat="1" applyFont="1" applyFill="1" applyBorder="1"/>
    <xf numFmtId="169" fontId="4" fillId="0" borderId="0" xfId="2" applyNumberFormat="1" applyFont="1" applyBorder="1"/>
    <xf numFmtId="0" fontId="3" fillId="0" borderId="0" xfId="0" applyFont="1" applyFill="1" applyBorder="1" applyAlignment="1">
      <alignment horizontal="right"/>
    </xf>
    <xf numFmtId="3" fontId="3" fillId="0" borderId="0" xfId="0" applyNumberFormat="1" applyFont="1" applyFill="1" applyBorder="1"/>
    <xf numFmtId="164" fontId="3" fillId="0" borderId="0" xfId="16" applyNumberFormat="1" applyFont="1" applyFill="1" applyBorder="1"/>
    <xf numFmtId="164" fontId="7" fillId="0" borderId="0" xfId="16" applyNumberFormat="1" applyFont="1" applyFill="1" applyBorder="1"/>
    <xf numFmtId="165" fontId="7" fillId="3" borderId="0" xfId="1" applyNumberFormat="1" applyFont="1" applyFill="1" applyBorder="1"/>
    <xf numFmtId="0" fontId="3" fillId="0" borderId="0" xfId="14"/>
    <xf numFmtId="0" fontId="4" fillId="0" borderId="0" xfId="14" applyFont="1"/>
    <xf numFmtId="0" fontId="6" fillId="0" borderId="0" xfId="14" applyFont="1"/>
    <xf numFmtId="0" fontId="4" fillId="0" borderId="0" xfId="14" applyFont="1" applyAlignment="1">
      <alignment horizontal="right"/>
    </xf>
    <xf numFmtId="0" fontId="4" fillId="0" borderId="0" xfId="14" applyFont="1" applyFill="1"/>
    <xf numFmtId="0" fontId="4" fillId="0" borderId="0" xfId="14" applyFont="1" applyFill="1" applyBorder="1" applyAlignment="1">
      <alignment horizontal="center"/>
    </xf>
    <xf numFmtId="0" fontId="4" fillId="3" borderId="15" xfId="14" applyFont="1" applyFill="1" applyBorder="1"/>
    <xf numFmtId="0" fontId="4" fillId="3" borderId="16" xfId="14" applyFont="1" applyFill="1" applyBorder="1"/>
    <xf numFmtId="0" fontId="4" fillId="9" borderId="0" xfId="14" applyFont="1" applyFill="1"/>
    <xf numFmtId="0" fontId="4" fillId="9" borderId="0" xfId="14" applyFont="1" applyFill="1" applyBorder="1" applyAlignment="1">
      <alignment horizontal="center"/>
    </xf>
    <xf numFmtId="9" fontId="6" fillId="0" borderId="0" xfId="14" applyNumberFormat="1" applyFont="1"/>
    <xf numFmtId="0" fontId="6" fillId="0" borderId="14" xfId="14" applyFont="1" applyBorder="1"/>
    <xf numFmtId="169" fontId="4" fillId="0" borderId="0" xfId="5" applyNumberFormat="1" applyFont="1" applyFill="1" applyBorder="1" applyAlignment="1">
      <alignment horizontal="center"/>
    </xf>
    <xf numFmtId="169" fontId="4" fillId="0" borderId="0" xfId="5" applyNumberFormat="1" applyFont="1"/>
    <xf numFmtId="169" fontId="4" fillId="0" borderId="0" xfId="14" applyNumberFormat="1" applyFont="1"/>
    <xf numFmtId="0" fontId="4" fillId="0" borderId="0" xfId="14" applyFont="1" applyFill="1" applyBorder="1"/>
    <xf numFmtId="0" fontId="4" fillId="0" borderId="0" xfId="14" applyFont="1" applyBorder="1"/>
    <xf numFmtId="0" fontId="4" fillId="9" borderId="0" xfId="14" applyFont="1" applyFill="1" applyBorder="1"/>
    <xf numFmtId="0" fontId="4" fillId="0" borderId="14" xfId="14" applyFont="1" applyBorder="1"/>
    <xf numFmtId="166" fontId="4" fillId="0" borderId="0" xfId="5" applyNumberFormat="1" applyFont="1" applyFill="1" applyBorder="1" applyAlignment="1">
      <alignment horizontal="right"/>
    </xf>
    <xf numFmtId="0" fontId="4" fillId="9" borderId="0" xfId="14" applyFont="1" applyFill="1" applyBorder="1" applyAlignment="1"/>
    <xf numFmtId="9" fontId="4" fillId="0" borderId="0" xfId="14" applyNumberFormat="1" applyFont="1" applyBorder="1"/>
    <xf numFmtId="41" fontId="4" fillId="0" borderId="0" xfId="14" applyNumberFormat="1" applyFont="1" applyBorder="1"/>
    <xf numFmtId="0" fontId="4" fillId="0" borderId="0" xfId="14" applyFont="1" applyBorder="1" applyAlignment="1">
      <alignment horizontal="right"/>
    </xf>
    <xf numFmtId="41" fontId="4" fillId="0" borderId="14" xfId="14" applyNumberFormat="1" applyFont="1" applyBorder="1"/>
    <xf numFmtId="41" fontId="4" fillId="0" borderId="0" xfId="14" applyNumberFormat="1" applyFont="1"/>
    <xf numFmtId="164" fontId="4" fillId="0" borderId="0" xfId="21" applyNumberFormat="1" applyFont="1"/>
    <xf numFmtId="0" fontId="4" fillId="0" borderId="14" xfId="14" applyFont="1" applyBorder="1" applyAlignment="1">
      <alignment horizontal="right"/>
    </xf>
    <xf numFmtId="0" fontId="4" fillId="10" borderId="15" xfId="14" applyFont="1" applyFill="1" applyBorder="1"/>
    <xf numFmtId="0" fontId="6" fillId="0" borderId="0" xfId="14" applyFont="1" applyAlignment="1">
      <alignment horizontal="right"/>
    </xf>
    <xf numFmtId="0" fontId="4" fillId="0" borderId="0" xfId="14" applyFont="1" applyBorder="1" applyAlignment="1">
      <alignment horizontal="center"/>
    </xf>
    <xf numFmtId="41" fontId="4" fillId="0" borderId="0" xfId="14" applyNumberFormat="1" applyFont="1" applyBorder="1" applyAlignment="1">
      <alignment horizontal="center"/>
    </xf>
    <xf numFmtId="41" fontId="4" fillId="0" borderId="0" xfId="14" applyNumberFormat="1" applyFont="1" applyBorder="1" applyAlignment="1">
      <alignment horizontal="right"/>
    </xf>
    <xf numFmtId="9" fontId="4" fillId="0" borderId="0" xfId="21" applyFont="1" applyBorder="1" applyAlignment="1">
      <alignment horizontal="right"/>
    </xf>
    <xf numFmtId="9" fontId="6" fillId="0" borderId="0" xfId="21" applyFont="1"/>
    <xf numFmtId="164" fontId="4" fillId="0" borderId="0" xfId="21" applyNumberFormat="1" applyFont="1" applyBorder="1"/>
    <xf numFmtId="9" fontId="4" fillId="0" borderId="0" xfId="18" applyFont="1" applyBorder="1" applyAlignment="1">
      <alignment horizontal="right"/>
    </xf>
    <xf numFmtId="164" fontId="4" fillId="0" borderId="0" xfId="18" applyNumberFormat="1" applyFont="1" applyBorder="1" applyAlignment="1">
      <alignment horizontal="right"/>
    </xf>
    <xf numFmtId="164" fontId="6" fillId="0" borderId="0" xfId="21" applyNumberFormat="1" applyFont="1"/>
    <xf numFmtId="10" fontId="7" fillId="3" borderId="0" xfId="0" applyNumberFormat="1" applyFont="1" applyFill="1" applyBorder="1"/>
    <xf numFmtId="167" fontId="4" fillId="5" borderId="0" xfId="0" applyNumberFormat="1" applyFont="1" applyFill="1" applyBorder="1"/>
    <xf numFmtId="166" fontId="4" fillId="9" borderId="53" xfId="1" applyNumberFormat="1" applyFont="1" applyFill="1" applyBorder="1"/>
    <xf numFmtId="184" fontId="5" fillId="0" borderId="0" xfId="0" applyNumberFormat="1" applyFont="1"/>
    <xf numFmtId="10" fontId="4" fillId="5" borderId="4" xfId="23" applyNumberFormat="1" applyFont="1" applyFill="1" applyBorder="1"/>
    <xf numFmtId="167" fontId="6" fillId="3" borderId="4" xfId="12" applyNumberFormat="1" applyFont="1" applyFill="1" applyBorder="1"/>
    <xf numFmtId="2" fontId="4" fillId="11" borderId="4" xfId="0" applyNumberFormat="1" applyFont="1" applyFill="1" applyBorder="1" applyAlignment="1"/>
    <xf numFmtId="173" fontId="4" fillId="5" borderId="0" xfId="0" applyNumberFormat="1" applyFont="1" applyFill="1" applyBorder="1" applyAlignment="1" applyProtection="1">
      <alignment horizontal="right"/>
    </xf>
    <xf numFmtId="1" fontId="20" fillId="0" borderId="0" xfId="0" applyNumberFormat="1" applyFont="1" applyBorder="1" applyProtection="1"/>
    <xf numFmtId="0" fontId="4" fillId="0" borderId="14" xfId="0" applyFont="1" applyBorder="1" applyProtection="1"/>
    <xf numFmtId="9" fontId="4" fillId="0" borderId="0" xfId="0" applyNumberFormat="1" applyFont="1" applyBorder="1"/>
    <xf numFmtId="41" fontId="4" fillId="0" borderId="0" xfId="0" applyNumberFormat="1" applyFont="1" applyBorder="1"/>
    <xf numFmtId="0" fontId="6" fillId="0" borderId="0" xfId="0" applyFont="1"/>
    <xf numFmtId="41" fontId="4" fillId="0" borderId="14" xfId="0" applyNumberFormat="1" applyFont="1" applyBorder="1"/>
    <xf numFmtId="0" fontId="6" fillId="0" borderId="14" xfId="0" applyFont="1" applyBorder="1"/>
    <xf numFmtId="41" fontId="4" fillId="0" borderId="0" xfId="0" applyNumberFormat="1" applyFont="1"/>
    <xf numFmtId="0" fontId="26" fillId="0" borderId="0" xfId="0" applyFont="1" applyBorder="1"/>
    <xf numFmtId="182" fontId="4" fillId="0" borderId="0" xfId="0" applyNumberFormat="1" applyFont="1" applyBorder="1"/>
    <xf numFmtId="9" fontId="6" fillId="0" borderId="0" xfId="18" applyFont="1"/>
    <xf numFmtId="41" fontId="5" fillId="0" borderId="0" xfId="0" applyNumberFormat="1" applyFont="1"/>
    <xf numFmtId="183" fontId="4" fillId="0" borderId="0" xfId="0" applyNumberFormat="1" applyFont="1" applyBorder="1"/>
    <xf numFmtId="164" fontId="4" fillId="0" borderId="0" xfId="14" applyNumberFormat="1" applyFont="1" applyBorder="1"/>
    <xf numFmtId="168" fontId="4" fillId="0" borderId="0" xfId="0" applyNumberFormat="1" applyFont="1" applyBorder="1"/>
    <xf numFmtId="164" fontId="4" fillId="0" borderId="0" xfId="18" applyNumberFormat="1" applyFont="1" applyBorder="1"/>
    <xf numFmtId="166" fontId="4" fillId="0" borderId="0" xfId="0" applyNumberFormat="1" applyFont="1" applyBorder="1"/>
    <xf numFmtId="185" fontId="5" fillId="0" borderId="0" xfId="0" applyNumberFormat="1" applyFont="1"/>
    <xf numFmtId="164" fontId="21" fillId="0" borderId="0" xfId="0" applyNumberFormat="1" applyFont="1" applyFill="1"/>
    <xf numFmtId="0" fontId="4" fillId="12" borderId="0" xfId="14" applyFont="1" applyFill="1" applyBorder="1"/>
    <xf numFmtId="171" fontId="4" fillId="0" borderId="0" xfId="7" applyNumberFormat="1" applyFont="1" applyBorder="1"/>
    <xf numFmtId="171" fontId="4" fillId="0" borderId="0" xfId="7" applyNumberFormat="1" applyFont="1"/>
    <xf numFmtId="171" fontId="4" fillId="12" borderId="33" xfId="7" applyNumberFormat="1" applyFont="1" applyFill="1" applyBorder="1"/>
    <xf numFmtId="171" fontId="4" fillId="13" borderId="0" xfId="7" applyNumberFormat="1" applyFont="1" applyFill="1"/>
    <xf numFmtId="169" fontId="4" fillId="13" borderId="0" xfId="2" applyNumberFormat="1" applyFont="1" applyFill="1"/>
    <xf numFmtId="171" fontId="4" fillId="13" borderId="33" xfId="7" applyNumberFormat="1" applyFont="1" applyFill="1" applyBorder="1"/>
    <xf numFmtId="171" fontId="4" fillId="9" borderId="0" xfId="7" applyNumberFormat="1" applyFont="1" applyFill="1"/>
    <xf numFmtId="171" fontId="4" fillId="3" borderId="0" xfId="7" applyNumberFormat="1" applyFont="1" applyFill="1" applyBorder="1"/>
    <xf numFmtId="179" fontId="4" fillId="0" borderId="0" xfId="7" applyNumberFormat="1" applyFont="1" applyBorder="1" applyAlignment="1">
      <alignment horizontal="right"/>
    </xf>
    <xf numFmtId="171" fontId="4" fillId="3" borderId="0" xfId="7" applyNumberFormat="1" applyFont="1" applyFill="1"/>
    <xf numFmtId="179" fontId="4" fillId="0" borderId="0" xfId="7" applyNumberFormat="1" applyFont="1"/>
    <xf numFmtId="179" fontId="4" fillId="0" borderId="0" xfId="7" applyNumberFormat="1" applyFont="1" applyBorder="1"/>
    <xf numFmtId="171" fontId="4" fillId="12" borderId="16" xfId="7" applyNumberFormat="1" applyFont="1" applyFill="1" applyBorder="1"/>
    <xf numFmtId="171" fontId="4" fillId="13" borderId="16" xfId="7" applyNumberFormat="1" applyFont="1" applyFill="1" applyBorder="1"/>
    <xf numFmtId="0" fontId="4" fillId="13" borderId="16" xfId="0" applyFont="1" applyFill="1" applyBorder="1"/>
    <xf numFmtId="171" fontId="4" fillId="0" borderId="0" xfId="7" applyNumberFormat="1" applyFont="1" applyFill="1" applyBorder="1" applyAlignment="1">
      <alignment horizontal="right"/>
    </xf>
    <xf numFmtId="171" fontId="4" fillId="0" borderId="16" xfId="7" applyNumberFormat="1" applyFont="1" applyFill="1" applyBorder="1" applyAlignment="1">
      <alignment horizontal="right"/>
    </xf>
    <xf numFmtId="171" fontId="6" fillId="3" borderId="16" xfId="7" applyNumberFormat="1" applyFont="1" applyFill="1" applyBorder="1"/>
    <xf numFmtId="171" fontId="4" fillId="0" borderId="16" xfId="7" applyNumberFormat="1" applyFont="1" applyBorder="1" applyProtection="1"/>
    <xf numFmtId="171" fontId="4" fillId="13" borderId="16" xfId="7" applyNumberFormat="1" applyFont="1" applyFill="1" applyBorder="1" applyProtection="1"/>
    <xf numFmtId="171" fontId="4" fillId="13" borderId="0" xfId="7" applyNumberFormat="1" applyFont="1" applyFill="1" applyProtection="1"/>
    <xf numFmtId="1" fontId="14" fillId="0" borderId="0" xfId="0" applyNumberFormat="1" applyFont="1" applyFill="1" applyBorder="1" applyProtection="1"/>
    <xf numFmtId="165" fontId="4" fillId="0" borderId="29" xfId="0" applyNumberFormat="1" applyFont="1" applyBorder="1"/>
    <xf numFmtId="171" fontId="4" fillId="12" borderId="16" xfId="7" applyNumberFormat="1" applyFont="1" applyFill="1" applyBorder="1" applyAlignment="1">
      <alignment horizontal="right"/>
    </xf>
    <xf numFmtId="171" fontId="4" fillId="13" borderId="16" xfId="7" applyNumberFormat="1" applyFont="1" applyFill="1" applyBorder="1" applyAlignment="1">
      <alignment horizontal="right"/>
    </xf>
    <xf numFmtId="164" fontId="4" fillId="3" borderId="0" xfId="0" applyNumberFormat="1" applyFont="1" applyFill="1"/>
    <xf numFmtId="171" fontId="6" fillId="0" borderId="0" xfId="7" applyNumberFormat="1" applyFont="1" applyFill="1" applyBorder="1"/>
    <xf numFmtId="0" fontId="14" fillId="0" borderId="0" xfId="0" applyFont="1" applyFill="1" applyBorder="1"/>
    <xf numFmtId="2" fontId="7" fillId="3" borderId="0" xfId="16" applyNumberFormat="1" applyFont="1" applyFill="1" applyBorder="1"/>
    <xf numFmtId="166" fontId="7" fillId="3" borderId="0" xfId="1" applyNumberFormat="1" applyFont="1" applyFill="1" applyBorder="1"/>
    <xf numFmtId="168" fontId="0" fillId="0" borderId="0" xfId="0" applyNumberFormat="1"/>
    <xf numFmtId="0" fontId="1" fillId="0" borderId="0" xfId="0" applyFont="1" applyAlignment="1">
      <alignment horizontal="right"/>
    </xf>
    <xf numFmtId="171" fontId="0" fillId="0" borderId="0" xfId="7" applyNumberFormat="1" applyFont="1"/>
    <xf numFmtId="0" fontId="4" fillId="0" borderId="0" xfId="0" applyFont="1" applyAlignment="1">
      <alignment horizontal="right" wrapText="1"/>
    </xf>
    <xf numFmtId="171" fontId="4" fillId="0" borderId="16" xfId="7" applyNumberFormat="1" applyFont="1" applyBorder="1"/>
    <xf numFmtId="168" fontId="4" fillId="0" borderId="16" xfId="0" applyNumberFormat="1" applyFont="1" applyBorder="1"/>
    <xf numFmtId="0" fontId="4" fillId="0" borderId="41" xfId="0" applyFont="1" applyFill="1" applyBorder="1"/>
    <xf numFmtId="186" fontId="0" fillId="0" borderId="0" xfId="16" applyNumberFormat="1" applyFont="1"/>
    <xf numFmtId="187" fontId="0" fillId="0" borderId="0" xfId="16" applyNumberFormat="1" applyFont="1"/>
    <xf numFmtId="187" fontId="4" fillId="0" borderId="16" xfId="16" applyNumberFormat="1" applyFont="1" applyBorder="1"/>
    <xf numFmtId="187" fontId="6" fillId="3" borderId="4" xfId="16" applyNumberFormat="1" applyFont="1" applyFill="1" applyBorder="1"/>
    <xf numFmtId="10" fontId="0" fillId="0" borderId="0" xfId="16" applyNumberFormat="1" applyFont="1"/>
    <xf numFmtId="0" fontId="1" fillId="0" borderId="0" xfId="0" applyFont="1" applyBorder="1" applyProtection="1"/>
    <xf numFmtId="3" fontId="1" fillId="0" borderId="4" xfId="0" applyNumberFormat="1" applyFont="1" applyBorder="1"/>
    <xf numFmtId="0" fontId="1" fillId="0" borderId="0" xfId="0" applyFont="1"/>
    <xf numFmtId="171" fontId="4" fillId="0" borderId="16" xfId="7" applyNumberFormat="1" applyFont="1" applyBorder="1" applyAlignment="1">
      <alignment horizontal="right"/>
    </xf>
    <xf numFmtId="171" fontId="28" fillId="13" borderId="16" xfId="7" applyNumberFormat="1" applyFont="1" applyFill="1" applyBorder="1" applyAlignment="1">
      <alignment horizontal="right"/>
    </xf>
    <xf numFmtId="164" fontId="1" fillId="0" borderId="0" xfId="16" applyNumberFormat="1" applyFont="1" applyBorder="1" applyAlignment="1">
      <alignment horizontal="right"/>
    </xf>
    <xf numFmtId="171" fontId="1" fillId="0" borderId="0" xfId="7" applyNumberFormat="1" applyFont="1" applyAlignment="1">
      <alignment horizontal="right"/>
    </xf>
    <xf numFmtId="0" fontId="5" fillId="0" borderId="0" xfId="0" applyFont="1" applyAlignment="1">
      <alignment horizontal="right"/>
    </xf>
    <xf numFmtId="41" fontId="5" fillId="0" borderId="0" xfId="0" applyNumberFormat="1" applyFont="1" applyAlignment="1">
      <alignment horizontal="right"/>
    </xf>
    <xf numFmtId="41" fontId="28" fillId="13" borderId="0" xfId="0" applyNumberFormat="1" applyFont="1" applyFill="1" applyAlignment="1">
      <alignment horizontal="right"/>
    </xf>
    <xf numFmtId="170" fontId="0" fillId="0" borderId="0" xfId="1" applyNumberFormat="1" applyFont="1" applyAlignment="1">
      <alignment horizontal="right"/>
    </xf>
    <xf numFmtId="170" fontId="28" fillId="13" borderId="0" xfId="1" applyNumberFormat="1" applyFont="1" applyFill="1" applyAlignment="1">
      <alignment horizontal="right"/>
    </xf>
    <xf numFmtId="0" fontId="0" fillId="0" borderId="0" xfId="0" applyAlignment="1">
      <alignment horizontal="right"/>
    </xf>
    <xf numFmtId="179" fontId="0" fillId="0" borderId="0" xfId="7" applyNumberFormat="1" applyFont="1" applyAlignment="1">
      <alignment horizontal="right"/>
    </xf>
    <xf numFmtId="179" fontId="6" fillId="3" borderId="0" xfId="7" applyNumberFormat="1" applyFont="1" applyFill="1" applyBorder="1" applyAlignment="1">
      <alignment horizontal="right"/>
    </xf>
    <xf numFmtId="164" fontId="6" fillId="3" borderId="0" xfId="16" applyNumberFormat="1" applyFont="1" applyFill="1" applyBorder="1" applyAlignment="1">
      <alignment horizontal="right"/>
    </xf>
    <xf numFmtId="171" fontId="4" fillId="0" borderId="16" xfId="0" applyNumberFormat="1" applyFont="1" applyBorder="1" applyAlignment="1">
      <alignment horizontal="right"/>
    </xf>
    <xf numFmtId="171" fontId="6" fillId="3" borderId="16" xfId="7" applyNumberFormat="1" applyFont="1" applyFill="1" applyBorder="1" applyAlignment="1">
      <alignment horizontal="right"/>
    </xf>
    <xf numFmtId="164" fontId="0" fillId="0" borderId="0" xfId="16" applyNumberFormat="1" applyFont="1" applyAlignment="1">
      <alignment horizontal="right"/>
    </xf>
    <xf numFmtId="0" fontId="4" fillId="14" borderId="16" xfId="14" applyFont="1" applyFill="1" applyBorder="1" applyAlignment="1">
      <alignment horizontal="right"/>
    </xf>
    <xf numFmtId="0" fontId="1" fillId="0" borderId="0" xfId="0" applyFont="1" applyFill="1" applyBorder="1"/>
    <xf numFmtId="0" fontId="4" fillId="0" borderId="16" xfId="14" applyFont="1" applyFill="1" applyBorder="1"/>
    <xf numFmtId="41" fontId="4" fillId="0" borderId="0" xfId="14" applyNumberFormat="1" applyFont="1" applyFill="1" applyBorder="1" applyAlignment="1">
      <alignment horizontal="right"/>
    </xf>
    <xf numFmtId="0" fontId="6" fillId="0" borderId="0" xfId="14" applyFont="1" applyFill="1" applyAlignment="1">
      <alignment horizontal="right"/>
    </xf>
    <xf numFmtId="0" fontId="4" fillId="14" borderId="16" xfId="14" applyFont="1" applyFill="1" applyBorder="1"/>
    <xf numFmtId="171" fontId="4" fillId="3" borderId="16" xfId="7" applyNumberFormat="1" applyFont="1" applyFill="1" applyBorder="1"/>
    <xf numFmtId="0" fontId="4" fillId="0" borderId="0" xfId="14" applyFont="1" applyFill="1" applyBorder="1" applyAlignment="1">
      <alignment horizontal="right"/>
    </xf>
    <xf numFmtId="168" fontId="4" fillId="0" borderId="0" xfId="14" applyNumberFormat="1" applyFont="1" applyFill="1" applyBorder="1" applyAlignment="1">
      <alignment horizontal="right"/>
    </xf>
    <xf numFmtId="171" fontId="4" fillId="0" borderId="16" xfId="7" applyNumberFormat="1" applyFont="1" applyFill="1" applyBorder="1"/>
    <xf numFmtId="41" fontId="4" fillId="0" borderId="0" xfId="14" applyNumberFormat="1" applyFont="1" applyFill="1" applyBorder="1"/>
    <xf numFmtId="0" fontId="4" fillId="0" borderId="14" xfId="14" applyFont="1" applyFill="1" applyBorder="1" applyAlignment="1">
      <alignment horizontal="right"/>
    </xf>
    <xf numFmtId="171" fontId="4" fillId="9" borderId="16" xfId="7" applyNumberFormat="1" applyFont="1" applyFill="1" applyBorder="1"/>
    <xf numFmtId="169" fontId="4" fillId="13" borderId="0" xfId="0" applyNumberFormat="1" applyFont="1" applyFill="1"/>
    <xf numFmtId="169" fontId="5" fillId="0" borderId="4" xfId="0" applyNumberFormat="1" applyFont="1" applyBorder="1"/>
    <xf numFmtId="169" fontId="4" fillId="0" borderId="0" xfId="0" applyNumberFormat="1" applyFont="1" applyFill="1" applyBorder="1" applyProtection="1"/>
    <xf numFmtId="169" fontId="4" fillId="3" borderId="0" xfId="0" applyNumberFormat="1" applyFont="1" applyFill="1" applyBorder="1"/>
    <xf numFmtId="169" fontId="4" fillId="0" borderId="0" xfId="0" applyNumberFormat="1" applyFont="1" applyFill="1" applyBorder="1"/>
    <xf numFmtId="169" fontId="4" fillId="0" borderId="16" xfId="0" applyNumberFormat="1" applyFont="1" applyFill="1" applyBorder="1" applyProtection="1"/>
    <xf numFmtId="169" fontId="4" fillId="0" borderId="33" xfId="0" applyNumberFormat="1" applyFont="1" applyFill="1" applyBorder="1" applyProtection="1"/>
    <xf numFmtId="169" fontId="5" fillId="0" borderId="0" xfId="0" applyNumberFormat="1" applyFont="1" applyFill="1" applyBorder="1" applyProtection="1"/>
    <xf numFmtId="169" fontId="5" fillId="0" borderId="0" xfId="0" applyNumberFormat="1" applyFont="1" applyFill="1" applyBorder="1"/>
    <xf numFmtId="169" fontId="6" fillId="0" borderId="0" xfId="0" applyNumberFormat="1" applyFont="1" applyBorder="1"/>
    <xf numFmtId="169" fontId="4" fillId="3" borderId="0" xfId="0" applyNumberFormat="1" applyFont="1" applyFill="1" applyBorder="1" applyProtection="1"/>
    <xf numFmtId="166" fontId="4" fillId="0" borderId="16" xfId="1" applyNumberFormat="1" applyFont="1" applyFill="1" applyBorder="1" applyProtection="1"/>
    <xf numFmtId="169" fontId="4" fillId="0" borderId="33" xfId="0" applyNumberFormat="1" applyFont="1" applyBorder="1" applyProtection="1"/>
    <xf numFmtId="169" fontId="4" fillId="8" borderId="0" xfId="0" applyNumberFormat="1" applyFont="1" applyFill="1" applyBorder="1"/>
    <xf numFmtId="169" fontId="4" fillId="3" borderId="10" xfId="0" applyNumberFormat="1" applyFont="1" applyFill="1" applyBorder="1"/>
    <xf numFmtId="169" fontId="4" fillId="3" borderId="33" xfId="0" applyNumberFormat="1" applyFont="1" applyFill="1" applyBorder="1"/>
    <xf numFmtId="169" fontId="4" fillId="3" borderId="35" xfId="0" applyNumberFormat="1" applyFont="1" applyFill="1" applyBorder="1"/>
    <xf numFmtId="169" fontId="4" fillId="0" borderId="0" xfId="0" applyNumberFormat="1" applyFont="1" applyBorder="1" applyProtection="1"/>
    <xf numFmtId="169" fontId="4" fillId="0" borderId="16" xfId="0" applyNumberFormat="1" applyFont="1" applyBorder="1" applyProtection="1"/>
    <xf numFmtId="169" fontId="4" fillId="3" borderId="0" xfId="7" applyNumberFormat="1" applyFont="1" applyFill="1" applyBorder="1"/>
    <xf numFmtId="169" fontId="4" fillId="0" borderId="0" xfId="7" applyNumberFormat="1" applyFont="1" applyFill="1" applyBorder="1"/>
    <xf numFmtId="169" fontId="4" fillId="0" borderId="16" xfId="7" applyNumberFormat="1" applyFont="1" applyFill="1" applyBorder="1"/>
    <xf numFmtId="169" fontId="6" fillId="3" borderId="0" xfId="7" applyNumberFormat="1" applyFont="1" applyFill="1" applyBorder="1"/>
    <xf numFmtId="169" fontId="4" fillId="0" borderId="0" xfId="16" applyNumberFormat="1" applyFont="1" applyFill="1" applyBorder="1" applyProtection="1"/>
    <xf numFmtId="169" fontId="4" fillId="0" borderId="16" xfId="16" applyNumberFormat="1" applyFont="1" applyFill="1" applyBorder="1" applyProtection="1"/>
    <xf numFmtId="169" fontId="6" fillId="3" borderId="0" xfId="0" applyNumberFormat="1" applyFont="1" applyFill="1" applyBorder="1"/>
    <xf numFmtId="169" fontId="5" fillId="0" borderId="0" xfId="0" applyNumberFormat="1" applyFont="1"/>
    <xf numFmtId="2" fontId="5" fillId="0" borderId="4" xfId="16" applyNumberFormat="1" applyFont="1" applyBorder="1"/>
    <xf numFmtId="169" fontId="6" fillId="3" borderId="4" xfId="0" applyNumberFormat="1" applyFont="1" applyFill="1" applyBorder="1"/>
    <xf numFmtId="186" fontId="5" fillId="0" borderId="0" xfId="16" applyNumberFormat="1" applyFont="1" applyFill="1" applyBorder="1" applyProtection="1"/>
    <xf numFmtId="186" fontId="7" fillId="3" borderId="0" xfId="16" applyNumberFormat="1" applyFont="1" applyFill="1" applyBorder="1"/>
    <xf numFmtId="0" fontId="30" fillId="0" borderId="0" xfId="14" applyFont="1" applyFill="1" applyBorder="1" applyAlignment="1">
      <alignment horizontal="left"/>
    </xf>
    <xf numFmtId="166" fontId="30" fillId="0" borderId="0" xfId="1" applyNumberFormat="1" applyFont="1" applyFill="1" applyBorder="1"/>
    <xf numFmtId="0" fontId="30" fillId="0" borderId="0" xfId="0" applyFont="1" applyFill="1" applyBorder="1" applyAlignment="1" applyProtection="1">
      <alignment wrapText="1"/>
    </xf>
    <xf numFmtId="171" fontId="4" fillId="13" borderId="0" xfId="0" applyNumberFormat="1" applyFont="1" applyFill="1"/>
    <xf numFmtId="171" fontId="30" fillId="0" borderId="0" xfId="7" applyNumberFormat="1" applyFont="1" applyFill="1" applyBorder="1"/>
    <xf numFmtId="0" fontId="29" fillId="0" borderId="0" xfId="0" applyFont="1" applyFill="1" applyBorder="1"/>
    <xf numFmtId="0" fontId="30" fillId="0" borderId="0" xfId="0" applyFont="1" applyFill="1" applyBorder="1"/>
    <xf numFmtId="0" fontId="30" fillId="0" borderId="0" xfId="0" applyFont="1" applyFill="1" applyBorder="1" applyAlignment="1">
      <alignment horizontal="right"/>
    </xf>
    <xf numFmtId="0" fontId="30" fillId="0" borderId="0" xfId="0" applyFont="1" applyFill="1" applyBorder="1" applyProtection="1"/>
    <xf numFmtId="171" fontId="29" fillId="0" borderId="0" xfId="0" applyNumberFormat="1" applyFont="1" applyFill="1" applyBorder="1"/>
    <xf numFmtId="164" fontId="31" fillId="0" borderId="0" xfId="16" applyNumberFormat="1" applyFont="1" applyFill="1" applyBorder="1"/>
    <xf numFmtId="165" fontId="5" fillId="0" borderId="4" xfId="16" applyNumberFormat="1" applyFont="1" applyBorder="1"/>
    <xf numFmtId="166" fontId="4" fillId="8" borderId="0" xfId="1" applyNumberFormat="1" applyFont="1" applyFill="1" applyBorder="1"/>
    <xf numFmtId="166" fontId="4" fillId="8" borderId="10" xfId="1" applyNumberFormat="1" applyFont="1" applyFill="1" applyBorder="1"/>
    <xf numFmtId="166" fontId="3" fillId="0" borderId="0" xfId="1" applyNumberFormat="1" applyFont="1" applyFill="1" applyBorder="1"/>
    <xf numFmtId="166" fontId="4" fillId="0" borderId="0" xfId="1" applyNumberFormat="1" applyFont="1" applyFill="1" applyBorder="1"/>
    <xf numFmtId="166" fontId="4" fillId="0" borderId="10" xfId="1" applyNumberFormat="1" applyFont="1" applyFill="1" applyBorder="1"/>
    <xf numFmtId="166" fontId="4" fillId="0" borderId="33" xfId="1" applyNumberFormat="1" applyFont="1" applyFill="1" applyBorder="1"/>
    <xf numFmtId="166" fontId="4" fillId="0" borderId="35" xfId="1" applyNumberFormat="1" applyFont="1" applyFill="1" applyBorder="1"/>
    <xf numFmtId="0" fontId="1" fillId="5" borderId="0" xfId="0" applyFont="1" applyFill="1" applyBorder="1" applyProtection="1"/>
    <xf numFmtId="169" fontId="4" fillId="0" borderId="0" xfId="0" applyNumberFormat="1" applyFont="1" applyFill="1" applyBorder="1" applyAlignment="1" applyProtection="1">
      <alignment horizontal="right"/>
    </xf>
    <xf numFmtId="43" fontId="5" fillId="0" borderId="0" xfId="0" applyNumberFormat="1" applyFont="1"/>
    <xf numFmtId="177" fontId="5" fillId="0" borderId="4" xfId="0" applyNumberFormat="1" applyFont="1" applyBorder="1"/>
    <xf numFmtId="187" fontId="5" fillId="0" borderId="0" xfId="0" applyNumberFormat="1" applyFont="1"/>
    <xf numFmtId="10" fontId="6" fillId="3" borderId="4" xfId="16" applyNumberFormat="1" applyFont="1" applyFill="1" applyBorder="1"/>
    <xf numFmtId="44" fontId="4" fillId="8" borderId="0" xfId="7" applyNumberFormat="1" applyFont="1" applyFill="1" applyBorder="1" applyAlignment="1" applyProtection="1"/>
    <xf numFmtId="44" fontId="4" fillId="8" borderId="0" xfId="7" applyNumberFormat="1" applyFont="1" applyFill="1" applyBorder="1" applyAlignment="1" applyProtection="1">
      <alignment horizontal="right"/>
    </xf>
    <xf numFmtId="173" fontId="4" fillId="5" borderId="0" xfId="16" applyNumberFormat="1" applyFont="1" applyFill="1" applyBorder="1" applyAlignment="1">
      <alignment horizontal="right"/>
    </xf>
    <xf numFmtId="10" fontId="4" fillId="5" borderId="39" xfId="16" applyNumberFormat="1" applyFont="1" applyFill="1" applyBorder="1"/>
    <xf numFmtId="164" fontId="4" fillId="5" borderId="21" xfId="0" applyNumberFormat="1" applyFont="1" applyFill="1" applyBorder="1" applyAlignment="1">
      <alignment horizontal="right"/>
    </xf>
    <xf numFmtId="164" fontId="4" fillId="5" borderId="14" xfId="0" applyNumberFormat="1" applyFont="1" applyFill="1" applyBorder="1" applyAlignment="1">
      <alignment horizontal="right"/>
    </xf>
    <xf numFmtId="164" fontId="4" fillId="5" borderId="59" xfId="0" applyNumberFormat="1" applyFont="1" applyFill="1" applyBorder="1" applyAlignment="1">
      <alignment horizontal="right"/>
    </xf>
    <xf numFmtId="10" fontId="5" fillId="0" borderId="0" xfId="16" applyNumberFormat="1" applyFont="1"/>
    <xf numFmtId="173" fontId="4" fillId="5" borderId="4" xfId="0" applyNumberFormat="1" applyFont="1" applyFill="1" applyBorder="1"/>
    <xf numFmtId="0" fontId="1" fillId="0" borderId="4" xfId="0" applyFont="1" applyBorder="1"/>
    <xf numFmtId="0" fontId="1" fillId="0" borderId="0" xfId="0" applyFont="1" applyFill="1"/>
    <xf numFmtId="188" fontId="4" fillId="13" borderId="0" xfId="0" applyNumberFormat="1" applyFont="1" applyFill="1" applyProtection="1"/>
  </cellXfs>
  <cellStyles count="24">
    <cellStyle name="Comma" xfId="1" builtinId="3"/>
    <cellStyle name="Comma 2" xfId="2" xr:uid="{00000000-0005-0000-0000-000001000000}"/>
    <cellStyle name="Comma 20" xfId="3" xr:uid="{00000000-0005-0000-0000-000002000000}"/>
    <cellStyle name="Comma 20 2" xfId="4" xr:uid="{00000000-0005-0000-0000-000003000000}"/>
    <cellStyle name="Comma 21" xfId="5" xr:uid="{00000000-0005-0000-0000-000004000000}"/>
    <cellStyle name="Comma 3" xfId="6" xr:uid="{00000000-0005-0000-0000-000005000000}"/>
    <cellStyle name="Currency" xfId="7" builtinId="4"/>
    <cellStyle name="Currency 2" xfId="8" xr:uid="{00000000-0005-0000-0000-000007000000}"/>
    <cellStyle name="Currency 20" xfId="9" xr:uid="{00000000-0005-0000-0000-000008000000}"/>
    <cellStyle name="Currency 20 2" xfId="10" xr:uid="{00000000-0005-0000-0000-000009000000}"/>
    <cellStyle name="Currency 21" xfId="11" xr:uid="{00000000-0005-0000-0000-00000A000000}"/>
    <cellStyle name="Currency 3" xfId="12" xr:uid="{00000000-0005-0000-0000-00000B000000}"/>
    <cellStyle name="Hyperlink 20" xfId="13" xr:uid="{00000000-0005-0000-0000-00000C000000}"/>
    <cellStyle name="Normal" xfId="0" builtinId="0"/>
    <cellStyle name="Normal 16" xfId="14" xr:uid="{00000000-0005-0000-0000-00000E000000}"/>
    <cellStyle name="Normal 17" xfId="15" xr:uid="{00000000-0005-0000-0000-00000F000000}"/>
    <cellStyle name="Percent" xfId="16" builtinId="5"/>
    <cellStyle name="Percent 2" xfId="17" xr:uid="{00000000-0005-0000-0000-000011000000}"/>
    <cellStyle name="Percent 2 2" xfId="18" xr:uid="{00000000-0005-0000-0000-000012000000}"/>
    <cellStyle name="Percent 20" xfId="19" xr:uid="{00000000-0005-0000-0000-000013000000}"/>
    <cellStyle name="Percent 20 2" xfId="20" xr:uid="{00000000-0005-0000-0000-000014000000}"/>
    <cellStyle name="Percent 21" xfId="21" xr:uid="{00000000-0005-0000-0000-000015000000}"/>
    <cellStyle name="Percent 3" xfId="22" xr:uid="{00000000-0005-0000-0000-000016000000}"/>
    <cellStyle name="Percent 4" xfId="23" xr:uid="{00000000-0005-0000-0000-000017000000}"/>
  </cellStyles>
  <dxfs count="0"/>
  <tableStyles count="0" defaultTableStyle="TableStyleMedium9" defaultPivotStyle="PivotStyleLight16"/>
  <colors>
    <mruColors>
      <color rgb="FFCC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61"/>
  <sheetViews>
    <sheetView topLeftCell="A4" zoomScale="130" zoomScaleNormal="130" workbookViewId="0">
      <selection activeCell="A18" sqref="A18"/>
    </sheetView>
  </sheetViews>
  <sheetFormatPr defaultRowHeight="12.75"/>
  <cols>
    <col min="1" max="1" width="44.140625" style="4" customWidth="1"/>
    <col min="2" max="7" width="10.7109375" style="4" customWidth="1"/>
    <col min="8" max="8" width="7.85546875" style="4" customWidth="1"/>
    <col min="9" max="10" width="9.140625" style="4"/>
    <col min="11" max="11" width="10.28515625" style="4" bestFit="1" customWidth="1"/>
    <col min="12" max="13" width="9.140625" style="4"/>
    <col min="14" max="14" width="10.28515625" style="4" bestFit="1" customWidth="1"/>
    <col min="15" max="16384" width="9.140625" style="4"/>
  </cols>
  <sheetData>
    <row r="1" spans="1:19">
      <c r="A1" s="1" t="s">
        <v>885</v>
      </c>
      <c r="B1" s="2"/>
      <c r="C1" s="2"/>
      <c r="D1" s="2"/>
      <c r="E1" s="2"/>
      <c r="F1" s="2"/>
      <c r="G1" s="3"/>
      <c r="I1" s="5"/>
      <c r="J1" s="6"/>
      <c r="K1" s="6"/>
      <c r="L1" s="6"/>
      <c r="M1" s="7"/>
      <c r="N1" s="8"/>
    </row>
    <row r="2" spans="1:19">
      <c r="A2" s="9" t="s">
        <v>886</v>
      </c>
      <c r="B2" s="10"/>
      <c r="C2" s="10"/>
      <c r="D2" s="10"/>
      <c r="E2" s="10"/>
      <c r="F2" s="10"/>
      <c r="G2" s="11"/>
      <c r="I2" s="9" t="s">
        <v>409</v>
      </c>
      <c r="J2" s="10"/>
      <c r="K2" s="10"/>
      <c r="L2" s="10"/>
      <c r="M2" s="11"/>
      <c r="N2" s="8"/>
    </row>
    <row r="3" spans="1:19" ht="13.5" thickBot="1">
      <c r="A3" s="12" t="s">
        <v>887</v>
      </c>
      <c r="B3" s="13"/>
      <c r="C3" s="13"/>
      <c r="D3" s="13"/>
      <c r="E3" s="13"/>
      <c r="F3" s="13"/>
      <c r="G3" s="14"/>
      <c r="I3" s="488"/>
      <c r="J3" s="10"/>
      <c r="K3" s="10"/>
      <c r="L3" s="10"/>
      <c r="M3" s="11"/>
      <c r="N3" s="489"/>
      <c r="O3" s="490"/>
    </row>
    <row r="4" spans="1:19">
      <c r="A4" s="16"/>
      <c r="B4" s="16"/>
      <c r="C4" s="16"/>
      <c r="D4" s="16"/>
      <c r="E4" s="16"/>
      <c r="F4" s="16"/>
      <c r="G4" s="16"/>
      <c r="I4" s="28" t="s">
        <v>543</v>
      </c>
      <c r="J4" s="28"/>
      <c r="K4" s="28"/>
      <c r="L4" s="28"/>
      <c r="M4" s="28"/>
      <c r="N4" s="28"/>
      <c r="O4" s="28"/>
      <c r="P4" s="28"/>
    </row>
    <row r="5" spans="1:19">
      <c r="A5" s="16"/>
      <c r="B5" s="16"/>
      <c r="C5" s="16"/>
      <c r="D5" s="16"/>
      <c r="E5" s="16"/>
      <c r="F5" s="16"/>
      <c r="G5" s="16"/>
      <c r="Q5" s="35"/>
      <c r="R5" s="35"/>
      <c r="S5" s="35"/>
    </row>
    <row r="6" spans="1:19">
      <c r="A6" s="18" t="s">
        <v>527</v>
      </c>
      <c r="B6" s="16"/>
      <c r="C6" s="16"/>
      <c r="D6" s="16"/>
      <c r="E6" s="16"/>
      <c r="F6" s="16"/>
      <c r="G6" s="16"/>
      <c r="I6" s="4" t="s">
        <v>406</v>
      </c>
    </row>
    <row r="7" spans="1:19">
      <c r="A7" s="16"/>
      <c r="B7" s="16"/>
      <c r="C7" s="16"/>
      <c r="D7" s="16"/>
      <c r="E7" s="16"/>
      <c r="F7" s="16"/>
      <c r="G7" s="16"/>
      <c r="I7" s="4" t="s">
        <v>407</v>
      </c>
    </row>
    <row r="8" spans="1:19">
      <c r="A8" s="19"/>
      <c r="B8" s="19"/>
      <c r="C8" s="19"/>
      <c r="D8" s="19"/>
      <c r="E8" s="19"/>
      <c r="F8" s="19"/>
      <c r="G8" s="19"/>
      <c r="I8" s="4" t="s">
        <v>532</v>
      </c>
    </row>
    <row r="9" spans="1:19">
      <c r="A9" s="20" t="s">
        <v>420</v>
      </c>
      <c r="B9" s="21" t="s">
        <v>264</v>
      </c>
      <c r="C9" s="22"/>
      <c r="D9" s="22"/>
      <c r="E9" s="22"/>
      <c r="F9" s="22"/>
      <c r="G9" s="23"/>
      <c r="I9" s="4" t="s">
        <v>265</v>
      </c>
    </row>
    <row r="10" spans="1:19">
      <c r="A10" s="20" t="s">
        <v>421</v>
      </c>
      <c r="B10" s="21" t="s">
        <v>737</v>
      </c>
      <c r="C10" s="22"/>
      <c r="D10" s="22"/>
      <c r="E10" s="22"/>
      <c r="F10" s="22"/>
      <c r="G10" s="23"/>
      <c r="I10" s="4" t="s">
        <v>266</v>
      </c>
    </row>
    <row r="11" spans="1:19">
      <c r="A11" s="20" t="s">
        <v>431</v>
      </c>
      <c r="B11" s="24">
        <v>2010</v>
      </c>
      <c r="C11" s="24">
        <v>2011</v>
      </c>
      <c r="D11" s="24">
        <v>2012</v>
      </c>
      <c r="E11" s="24">
        <v>2013</v>
      </c>
      <c r="F11" s="24">
        <v>2014</v>
      </c>
      <c r="G11" s="24">
        <v>2015</v>
      </c>
      <c r="I11" s="4" t="s">
        <v>408</v>
      </c>
    </row>
    <row r="12" spans="1:19">
      <c r="B12" s="495"/>
      <c r="C12" s="495"/>
      <c r="D12" s="495"/>
      <c r="G12" s="506"/>
    </row>
    <row r="13" spans="1:19">
      <c r="A13" s="25"/>
      <c r="B13" s="507"/>
      <c r="C13" s="507"/>
      <c r="D13" s="507"/>
      <c r="E13" s="26"/>
      <c r="F13" s="26"/>
      <c r="G13" s="26"/>
    </row>
    <row r="14" spans="1:19">
      <c r="A14" s="25" t="s">
        <v>424</v>
      </c>
      <c r="B14" s="507"/>
      <c r="C14" s="507"/>
      <c r="D14" s="507"/>
      <c r="E14" s="26"/>
      <c r="F14" s="26"/>
      <c r="G14" s="26"/>
      <c r="I14" s="27" t="s">
        <v>492</v>
      </c>
    </row>
    <row r="15" spans="1:19">
      <c r="A15" s="31" t="s">
        <v>355</v>
      </c>
      <c r="B15" s="507"/>
      <c r="C15" s="507"/>
      <c r="D15" s="507"/>
      <c r="E15" s="26"/>
      <c r="F15" s="26"/>
      <c r="G15" s="26"/>
    </row>
    <row r="16" spans="1:19">
      <c r="A16" s="495" t="s">
        <v>562</v>
      </c>
      <c r="B16" s="559">
        <v>1164</v>
      </c>
      <c r="C16" s="559">
        <v>1148.0999999999999</v>
      </c>
      <c r="D16" s="559">
        <v>1188.5999999999999</v>
      </c>
      <c r="E16" s="559">
        <v>2575.6999999999998</v>
      </c>
      <c r="F16" s="559">
        <v>1708.4</v>
      </c>
      <c r="G16" s="559">
        <v>1530.1</v>
      </c>
    </row>
    <row r="17" spans="1:10">
      <c r="A17" s="677" t="s">
        <v>877</v>
      </c>
      <c r="B17" s="559">
        <v>285.7</v>
      </c>
      <c r="C17" s="559">
        <v>902.6</v>
      </c>
      <c r="D17" s="559">
        <v>848.4</v>
      </c>
      <c r="E17" s="559">
        <v>658.1</v>
      </c>
      <c r="F17" s="559">
        <v>135.4</v>
      </c>
      <c r="G17" s="559">
        <v>81.3</v>
      </c>
      <c r="J17" s="709"/>
    </row>
    <row r="18" spans="1:10">
      <c r="A18" s="495" t="s">
        <v>674</v>
      </c>
      <c r="B18" s="559">
        <v>302.7</v>
      </c>
      <c r="C18" s="559">
        <v>386.5</v>
      </c>
      <c r="D18" s="559">
        <v>485.9</v>
      </c>
      <c r="E18" s="559">
        <v>561.4</v>
      </c>
      <c r="F18" s="559">
        <v>631</v>
      </c>
      <c r="G18" s="559">
        <v>719</v>
      </c>
    </row>
    <row r="19" spans="1:10">
      <c r="A19" s="4" t="s">
        <v>422</v>
      </c>
      <c r="B19" s="559">
        <v>543.29999999999995</v>
      </c>
      <c r="C19" s="559">
        <v>965.8</v>
      </c>
      <c r="D19" s="559">
        <v>1241.5</v>
      </c>
      <c r="E19" s="559">
        <v>1111.2</v>
      </c>
      <c r="F19" s="559">
        <v>1090.9000000000001</v>
      </c>
      <c r="G19" s="559">
        <v>1306.4000000000001</v>
      </c>
    </row>
    <row r="20" spans="1:10">
      <c r="A20" s="495" t="s">
        <v>563</v>
      </c>
      <c r="B20" s="559">
        <v>156.5</v>
      </c>
      <c r="C20" s="559">
        <v>161.5</v>
      </c>
      <c r="D20" s="559">
        <v>196.5</v>
      </c>
      <c r="E20" s="559">
        <v>287.7</v>
      </c>
      <c r="F20" s="559">
        <v>285.60000000000002</v>
      </c>
      <c r="G20" s="559">
        <v>334.2</v>
      </c>
    </row>
    <row r="21" spans="1:10">
      <c r="A21" s="495" t="s">
        <v>800</v>
      </c>
      <c r="B21" s="28">
        <v>304.2</v>
      </c>
      <c r="C21" s="28">
        <v>230.4</v>
      </c>
      <c r="D21" s="28">
        <v>238.7</v>
      </c>
      <c r="E21" s="28">
        <v>277.3</v>
      </c>
      <c r="F21" s="28">
        <v>317.39999999999998</v>
      </c>
      <c r="G21" s="28">
        <v>381.77</v>
      </c>
    </row>
    <row r="22" spans="1:10">
      <c r="A22" s="495" t="s">
        <v>672</v>
      </c>
      <c r="B22" s="29"/>
      <c r="C22" s="29"/>
      <c r="D22" s="29"/>
      <c r="E22" s="29"/>
      <c r="F22" s="29"/>
      <c r="G22" s="29"/>
      <c r="I22" s="495" t="s">
        <v>622</v>
      </c>
    </row>
    <row r="23" spans="1:10">
      <c r="A23" s="495" t="s">
        <v>564</v>
      </c>
      <c r="B23" s="30"/>
      <c r="C23" s="30"/>
      <c r="D23" s="30"/>
      <c r="E23" s="30"/>
      <c r="F23" s="30"/>
      <c r="G23" s="30"/>
    </row>
    <row r="24" spans="1:10">
      <c r="A24" s="31" t="s">
        <v>411</v>
      </c>
      <c r="B24" s="32">
        <f t="shared" ref="B24:G24" si="0">SUM(B16:B23)</f>
        <v>2756.3999999999996</v>
      </c>
      <c r="C24" s="32">
        <f t="shared" si="0"/>
        <v>3794.9</v>
      </c>
      <c r="D24" s="32">
        <f t="shared" si="0"/>
        <v>4199.6000000000004</v>
      </c>
      <c r="E24" s="32">
        <f t="shared" si="0"/>
        <v>5471.4</v>
      </c>
      <c r="F24" s="32">
        <f t="shared" si="0"/>
        <v>4168.7</v>
      </c>
      <c r="G24" s="32">
        <f t="shared" si="0"/>
        <v>4352.7699999999995</v>
      </c>
      <c r="I24" s="4" t="s">
        <v>267</v>
      </c>
    </row>
    <row r="25" spans="1:10">
      <c r="A25" s="495" t="s">
        <v>738</v>
      </c>
      <c r="B25" s="736">
        <v>191.8</v>
      </c>
      <c r="C25" s="736">
        <v>107</v>
      </c>
      <c r="D25" s="736">
        <v>116</v>
      </c>
      <c r="E25" s="736">
        <v>58.3</v>
      </c>
      <c r="F25" s="736">
        <v>318.39999999999998</v>
      </c>
      <c r="G25" s="736">
        <v>312.5</v>
      </c>
    </row>
    <row r="26" spans="1:10">
      <c r="A26" s="495" t="s">
        <v>796</v>
      </c>
      <c r="B26" s="559">
        <v>341.5</v>
      </c>
      <c r="C26" s="559">
        <v>372.3</v>
      </c>
      <c r="D26" s="559">
        <v>459.9</v>
      </c>
      <c r="E26" s="559">
        <v>496.5</v>
      </c>
      <c r="F26" s="559">
        <v>514.9</v>
      </c>
      <c r="G26" s="559">
        <v>352</v>
      </c>
    </row>
    <row r="27" spans="1:10">
      <c r="A27" s="495" t="s">
        <v>565</v>
      </c>
      <c r="B27" s="559">
        <v>5888.7</v>
      </c>
      <c r="C27" s="559">
        <v>6163.1</v>
      </c>
      <c r="D27" s="559">
        <v>6903.1</v>
      </c>
      <c r="E27" s="559">
        <v>7782.1</v>
      </c>
      <c r="F27" s="559">
        <v>8581.1</v>
      </c>
      <c r="G27" s="559">
        <v>9641.7999999999993</v>
      </c>
    </row>
    <row r="28" spans="1:10">
      <c r="A28" s="495" t="s">
        <v>566</v>
      </c>
      <c r="B28" s="559">
        <v>-3472.2</v>
      </c>
      <c r="C28" s="559">
        <v>-3808.1</v>
      </c>
      <c r="D28" s="559">
        <v>-4244.2</v>
      </c>
      <c r="E28" s="559">
        <v>-4581.6000000000004</v>
      </c>
      <c r="F28" s="559">
        <v>-5062.1000000000004</v>
      </c>
      <c r="G28" s="559">
        <v>-5553.5</v>
      </c>
      <c r="I28" s="761"/>
    </row>
    <row r="29" spans="1:10">
      <c r="A29" s="495" t="s">
        <v>799</v>
      </c>
      <c r="B29" s="559">
        <v>195.3</v>
      </c>
      <c r="C29" s="559">
        <v>156.30000000000001</v>
      </c>
      <c r="D29" s="559">
        <v>97.3</v>
      </c>
      <c r="E29" s="559">
        <v>967</v>
      </c>
      <c r="F29" s="559">
        <v>903.3</v>
      </c>
      <c r="G29" s="559">
        <v>828.9</v>
      </c>
    </row>
    <row r="30" spans="1:10">
      <c r="A30" s="495" t="s">
        <v>797</v>
      </c>
      <c r="B30" s="559">
        <v>151.19999999999999</v>
      </c>
      <c r="C30" s="559">
        <v>141.4</v>
      </c>
      <c r="D30" s="559">
        <v>144.69999999999999</v>
      </c>
      <c r="E30" s="559">
        <f>185.3</f>
        <v>185.3</v>
      </c>
      <c r="F30" s="559">
        <f>198.9</f>
        <v>198.9</v>
      </c>
      <c r="G30" s="559">
        <f>415.9</f>
        <v>415.9</v>
      </c>
    </row>
    <row r="31" spans="1:10">
      <c r="A31" s="495" t="s">
        <v>798</v>
      </c>
      <c r="B31" s="28">
        <v>70.8</v>
      </c>
      <c r="C31" s="28">
        <v>111.9</v>
      </c>
      <c r="D31" s="28">
        <v>143.69999999999999</v>
      </c>
      <c r="E31" s="28">
        <v>274.8</v>
      </c>
      <c r="F31" s="28">
        <v>273.5</v>
      </c>
      <c r="G31" s="28">
        <f>302.5+217.9</f>
        <v>520.4</v>
      </c>
    </row>
    <row r="32" spans="1:10">
      <c r="A32" s="495" t="s">
        <v>795</v>
      </c>
      <c r="B32" s="28">
        <v>262.39999999999998</v>
      </c>
      <c r="C32" s="28">
        <v>321.60000000000002</v>
      </c>
      <c r="D32" s="28">
        <f>399.1</f>
        <v>399.1</v>
      </c>
      <c r="E32" s="28">
        <f>862.9</f>
        <v>862.9</v>
      </c>
      <c r="F32" s="28">
        <f>856.2</f>
        <v>856.2</v>
      </c>
      <c r="G32" s="28">
        <f>1575.4</f>
        <v>1575.4</v>
      </c>
    </row>
    <row r="33" spans="1:14">
      <c r="A33" s="31" t="s">
        <v>412</v>
      </c>
      <c r="B33" s="32">
        <f t="shared" ref="B33:G33" si="1">SUM(B24:B32)</f>
        <v>6385.9</v>
      </c>
      <c r="C33" s="32">
        <f t="shared" si="1"/>
        <v>7360.3999999999987</v>
      </c>
      <c r="D33" s="32">
        <f t="shared" si="1"/>
        <v>8219.2000000000007</v>
      </c>
      <c r="E33" s="32">
        <f t="shared" si="1"/>
        <v>11516.699999999997</v>
      </c>
      <c r="F33" s="32">
        <f t="shared" si="1"/>
        <v>10752.899999999998</v>
      </c>
      <c r="G33" s="32">
        <f t="shared" si="1"/>
        <v>12446.169999999998</v>
      </c>
      <c r="I33" s="4" t="s">
        <v>268</v>
      </c>
    </row>
    <row r="34" spans="1:14" s="81" customFormat="1">
      <c r="A34" s="25"/>
      <c r="B34" s="498"/>
      <c r="C34" s="498"/>
      <c r="D34" s="498"/>
    </row>
    <row r="35" spans="1:14" s="81" customFormat="1">
      <c r="A35" s="31" t="s">
        <v>356</v>
      </c>
      <c r="B35" s="498"/>
      <c r="C35" s="498"/>
      <c r="D35" s="498"/>
    </row>
    <row r="36" spans="1:14">
      <c r="A36" s="495" t="s">
        <v>684</v>
      </c>
      <c r="B36" s="28">
        <v>282.60000000000002</v>
      </c>
      <c r="C36" s="28">
        <v>540</v>
      </c>
      <c r="D36" s="28">
        <v>398.1</v>
      </c>
      <c r="E36" s="28">
        <v>491.7</v>
      </c>
      <c r="F36" s="28">
        <v>533.70000000000005</v>
      </c>
      <c r="G36" s="28">
        <v>684.2</v>
      </c>
    </row>
    <row r="37" spans="1:14">
      <c r="A37" s="495" t="s">
        <v>801</v>
      </c>
      <c r="B37" s="28">
        <v>936.2</v>
      </c>
      <c r="C37" s="28">
        <v>940.9</v>
      </c>
      <c r="D37" s="28">
        <v>1133.8</v>
      </c>
      <c r="E37" s="28">
        <v>1269.3</v>
      </c>
      <c r="F37" s="28">
        <v>1514.4</v>
      </c>
      <c r="G37" s="28">
        <v>1760.7</v>
      </c>
    </row>
    <row r="38" spans="1:14">
      <c r="A38" s="495" t="s">
        <v>567</v>
      </c>
      <c r="B38" s="28"/>
      <c r="C38" s="28"/>
      <c r="D38" s="28"/>
      <c r="E38" s="28"/>
      <c r="F38" s="28"/>
      <c r="G38" s="28"/>
      <c r="I38" s="33"/>
      <c r="J38" s="33"/>
      <c r="K38" s="33"/>
      <c r="L38" s="33"/>
      <c r="M38" s="33"/>
      <c r="N38" s="33"/>
    </row>
    <row r="39" spans="1:14">
      <c r="A39" s="495" t="s">
        <v>568</v>
      </c>
      <c r="B39" s="28"/>
      <c r="C39" s="28"/>
      <c r="D39" s="28"/>
      <c r="E39" s="28"/>
      <c r="F39" s="28"/>
      <c r="G39" s="28"/>
    </row>
    <row r="40" spans="1:14">
      <c r="A40" s="495" t="s">
        <v>569</v>
      </c>
      <c r="B40" s="28"/>
      <c r="C40" s="28"/>
      <c r="D40" s="28"/>
      <c r="E40" s="28"/>
      <c r="F40" s="28"/>
      <c r="G40" s="28"/>
    </row>
    <row r="41" spans="1:14">
      <c r="A41" s="495" t="s">
        <v>739</v>
      </c>
      <c r="B41" s="30">
        <v>146.19999999999999</v>
      </c>
      <c r="C41" s="30">
        <v>145.6</v>
      </c>
      <c r="D41" s="30">
        <v>167.7</v>
      </c>
      <c r="E41" s="30">
        <v>178.5</v>
      </c>
      <c r="F41" s="30">
        <v>196.1</v>
      </c>
      <c r="G41" s="30">
        <v>224.8</v>
      </c>
      <c r="I41" s="495" t="s">
        <v>623</v>
      </c>
    </row>
    <row r="42" spans="1:14">
      <c r="A42" s="495" t="s">
        <v>803</v>
      </c>
      <c r="B42" s="29">
        <v>414.1</v>
      </c>
      <c r="C42" s="29">
        <v>449.3</v>
      </c>
      <c r="D42" s="29">
        <v>510.2</v>
      </c>
      <c r="E42" s="29">
        <v>653.70000000000005</v>
      </c>
      <c r="F42" s="29">
        <v>794.5</v>
      </c>
      <c r="G42" s="29">
        <v>983.8</v>
      </c>
      <c r="I42" s="495"/>
    </row>
    <row r="43" spans="1:14">
      <c r="A43" s="495" t="s">
        <v>802</v>
      </c>
      <c r="B43" s="30"/>
      <c r="C43" s="30"/>
      <c r="D43" s="30"/>
      <c r="E43" s="30">
        <v>2784.1</v>
      </c>
      <c r="F43" s="30"/>
      <c r="G43" s="30"/>
    </row>
    <row r="44" spans="1:14">
      <c r="A44" s="31" t="s">
        <v>413</v>
      </c>
      <c r="B44" s="32">
        <f t="shared" ref="B44:G44" si="2">SUM(B36:B43)</f>
        <v>1779.1000000000004</v>
      </c>
      <c r="C44" s="32">
        <f t="shared" si="2"/>
        <v>2075.8000000000002</v>
      </c>
      <c r="D44" s="32">
        <f t="shared" si="2"/>
        <v>2209.8000000000002</v>
      </c>
      <c r="E44" s="32">
        <f t="shared" si="2"/>
        <v>5377.2999999999993</v>
      </c>
      <c r="F44" s="32">
        <f t="shared" si="2"/>
        <v>3038.7000000000003</v>
      </c>
      <c r="G44" s="32">
        <f t="shared" si="2"/>
        <v>3653.5</v>
      </c>
      <c r="I44" s="4" t="s">
        <v>269</v>
      </c>
    </row>
    <row r="45" spans="1:14">
      <c r="A45" s="495" t="s">
        <v>804</v>
      </c>
      <c r="B45" s="28">
        <v>549.4</v>
      </c>
      <c r="C45" s="28">
        <v>549.5</v>
      </c>
      <c r="D45" s="28">
        <v>549.6</v>
      </c>
      <c r="E45" s="28">
        <v>1299.4000000000001</v>
      </c>
      <c r="F45" s="28">
        <v>2048.3000000000002</v>
      </c>
      <c r="G45" s="28">
        <v>2347.5</v>
      </c>
      <c r="H45" s="34"/>
    </row>
    <row r="46" spans="1:14">
      <c r="A46" s="495" t="s">
        <v>570</v>
      </c>
      <c r="B46" s="28">
        <v>375.1</v>
      </c>
      <c r="C46" s="28">
        <v>347.8</v>
      </c>
      <c r="D46" s="28">
        <v>345.3</v>
      </c>
      <c r="E46" s="28">
        <v>357.7</v>
      </c>
      <c r="F46" s="28">
        <v>392.2</v>
      </c>
      <c r="G46" s="28">
        <v>625.29999999999995</v>
      </c>
      <c r="H46" s="34"/>
    </row>
    <row r="47" spans="1:14">
      <c r="A47" s="495" t="s">
        <v>683</v>
      </c>
      <c r="B47" s="28"/>
      <c r="C47" s="28"/>
      <c r="D47" s="28"/>
      <c r="E47" s="28"/>
      <c r="F47" s="28"/>
      <c r="G47" s="28"/>
      <c r="H47" s="34"/>
    </row>
    <row r="48" spans="1:14">
      <c r="A48" s="495" t="s">
        <v>673</v>
      </c>
      <c r="B48" s="28"/>
      <c r="C48" s="28"/>
      <c r="D48" s="28"/>
      <c r="E48" s="28"/>
      <c r="F48" s="28"/>
      <c r="G48" s="28"/>
      <c r="H48" s="34"/>
      <c r="I48" s="495" t="s">
        <v>624</v>
      </c>
    </row>
    <row r="49" spans="1:9">
      <c r="A49" s="495" t="s">
        <v>571</v>
      </c>
      <c r="B49" s="28"/>
      <c r="C49" s="28"/>
      <c r="D49" s="28"/>
      <c r="E49" s="28"/>
      <c r="F49" s="28"/>
      <c r="G49" s="28"/>
      <c r="H49" s="34"/>
    </row>
    <row r="50" spans="1:9">
      <c r="A50" s="31" t="s">
        <v>414</v>
      </c>
      <c r="B50" s="32">
        <f t="shared" ref="B50:G50" si="3">SUM(B44:B49)</f>
        <v>2703.6000000000004</v>
      </c>
      <c r="C50" s="32">
        <f t="shared" si="3"/>
        <v>2973.1000000000004</v>
      </c>
      <c r="D50" s="32">
        <f t="shared" si="3"/>
        <v>3104.7000000000003</v>
      </c>
      <c r="E50" s="32">
        <f t="shared" si="3"/>
        <v>7034.3999999999987</v>
      </c>
      <c r="F50" s="32">
        <f t="shared" si="3"/>
        <v>5479.2</v>
      </c>
      <c r="G50" s="32">
        <f t="shared" si="3"/>
        <v>6626.3</v>
      </c>
      <c r="I50" s="4" t="s">
        <v>270</v>
      </c>
    </row>
    <row r="51" spans="1:9">
      <c r="A51" s="495"/>
      <c r="B51" s="509"/>
      <c r="C51" s="509"/>
      <c r="D51" s="509"/>
      <c r="E51" s="509"/>
      <c r="F51" s="509"/>
      <c r="G51" s="509"/>
    </row>
    <row r="52" spans="1:9">
      <c r="A52" s="495" t="s">
        <v>572</v>
      </c>
      <c r="B52" s="28"/>
      <c r="C52" s="28"/>
      <c r="D52" s="28"/>
      <c r="E52" s="28"/>
      <c r="F52" s="28"/>
      <c r="G52" s="28"/>
    </row>
    <row r="53" spans="1:9">
      <c r="A53" s="495" t="s">
        <v>573</v>
      </c>
      <c r="B53" s="28">
        <v>146.30000000000001</v>
      </c>
      <c r="C53" s="28">
        <v>41.2</v>
      </c>
      <c r="D53" s="28">
        <v>40.1</v>
      </c>
      <c r="E53" s="28">
        <v>282.89999999999998</v>
      </c>
      <c r="F53" s="28">
        <v>40.1</v>
      </c>
      <c r="G53" s="28">
        <v>42.6</v>
      </c>
    </row>
    <row r="54" spans="1:9">
      <c r="A54" s="495" t="s">
        <v>574</v>
      </c>
      <c r="B54" s="28">
        <v>3471.2</v>
      </c>
      <c r="C54" s="28">
        <v>4297.3999999999996</v>
      </c>
      <c r="D54" s="28">
        <v>5046.2</v>
      </c>
      <c r="E54" s="28">
        <v>4130.3</v>
      </c>
      <c r="F54" s="28">
        <v>5206.6000000000004</v>
      </c>
      <c r="G54" s="28">
        <v>5974.8</v>
      </c>
    </row>
    <row r="55" spans="1:9">
      <c r="A55" s="495" t="s">
        <v>575</v>
      </c>
      <c r="B55" s="28">
        <v>57.2</v>
      </c>
      <c r="C55" s="28">
        <v>46.3</v>
      </c>
      <c r="D55" s="28">
        <v>22.7</v>
      </c>
      <c r="E55" s="28">
        <v>67</v>
      </c>
      <c r="F55" s="28">
        <v>25.3</v>
      </c>
      <c r="G55" s="28">
        <v>-199.4</v>
      </c>
      <c r="I55" s="4" t="s">
        <v>271</v>
      </c>
    </row>
    <row r="56" spans="1:9">
      <c r="A56" s="495" t="s">
        <v>718</v>
      </c>
      <c r="B56" s="28"/>
      <c r="C56" s="28"/>
      <c r="D56" s="559"/>
      <c r="E56" s="28"/>
      <c r="F56" s="28"/>
      <c r="G56" s="28"/>
      <c r="I56" s="495" t="s">
        <v>719</v>
      </c>
    </row>
    <row r="57" spans="1:9">
      <c r="A57" s="31" t="s">
        <v>677</v>
      </c>
      <c r="B57" s="32">
        <f t="shared" ref="B57:G57" si="4">SUM(B53:B56)</f>
        <v>3674.7</v>
      </c>
      <c r="C57" s="32">
        <f t="shared" si="4"/>
        <v>4384.8999999999996</v>
      </c>
      <c r="D57" s="32">
        <f t="shared" si="4"/>
        <v>5109</v>
      </c>
      <c r="E57" s="32">
        <f t="shared" si="4"/>
        <v>4480.2</v>
      </c>
      <c r="F57" s="32">
        <f t="shared" si="4"/>
        <v>5272.0000000000009</v>
      </c>
      <c r="G57" s="32">
        <f t="shared" si="4"/>
        <v>5818.0000000000009</v>
      </c>
      <c r="I57" s="4" t="s">
        <v>272</v>
      </c>
    </row>
    <row r="58" spans="1:9">
      <c r="A58" s="495" t="s">
        <v>675</v>
      </c>
      <c r="B58" s="28">
        <v>7.6</v>
      </c>
      <c r="C58" s="28">
        <v>2.4</v>
      </c>
      <c r="D58" s="28">
        <v>5.5</v>
      </c>
      <c r="E58" s="28">
        <v>2.1</v>
      </c>
      <c r="F58" s="28">
        <v>1.7</v>
      </c>
      <c r="G58" s="28">
        <v>1.8</v>
      </c>
    </row>
    <row r="59" spans="1:9">
      <c r="A59" s="31" t="s">
        <v>676</v>
      </c>
      <c r="B59" s="32">
        <f t="shared" ref="B59:G59" si="5">B52+B57+B58</f>
        <v>3682.2999999999997</v>
      </c>
      <c r="C59" s="32">
        <f t="shared" si="5"/>
        <v>4387.2999999999993</v>
      </c>
      <c r="D59" s="32">
        <f t="shared" si="5"/>
        <v>5114.5</v>
      </c>
      <c r="E59" s="32">
        <f t="shared" si="5"/>
        <v>4482.3</v>
      </c>
      <c r="F59" s="32">
        <f t="shared" si="5"/>
        <v>5273.7000000000007</v>
      </c>
      <c r="G59" s="32">
        <f t="shared" si="5"/>
        <v>5819.8000000000011</v>
      </c>
    </row>
    <row r="60" spans="1:9">
      <c r="A60" s="31" t="s">
        <v>415</v>
      </c>
      <c r="B60" s="32">
        <f t="shared" ref="B60:G60" si="6">B50+B59</f>
        <v>6385.9</v>
      </c>
      <c r="C60" s="32">
        <f t="shared" si="6"/>
        <v>7360.4</v>
      </c>
      <c r="D60" s="32">
        <f t="shared" si="6"/>
        <v>8219.2000000000007</v>
      </c>
      <c r="E60" s="32">
        <f t="shared" si="6"/>
        <v>11516.699999999999</v>
      </c>
      <c r="F60" s="32">
        <f t="shared" si="6"/>
        <v>10752.900000000001</v>
      </c>
      <c r="G60" s="32">
        <f t="shared" si="6"/>
        <v>12446.100000000002</v>
      </c>
      <c r="I60" s="4" t="s">
        <v>273</v>
      </c>
    </row>
    <row r="61" spans="1:9">
      <c r="B61" s="508"/>
      <c r="C61" s="508"/>
      <c r="D61" s="508"/>
      <c r="E61" s="36"/>
      <c r="F61" s="36"/>
      <c r="G61" s="36"/>
    </row>
    <row r="62" spans="1:9">
      <c r="B62" s="508"/>
      <c r="C62" s="508"/>
      <c r="D62" s="508"/>
      <c r="E62" s="36"/>
      <c r="F62" s="36"/>
      <c r="G62" s="36"/>
      <c r="H62" s="33"/>
    </row>
    <row r="63" spans="1:9">
      <c r="A63" s="27" t="s">
        <v>425</v>
      </c>
      <c r="B63" s="37">
        <f t="shared" ref="B63:G63" si="7">B11</f>
        <v>2010</v>
      </c>
      <c r="C63" s="37">
        <f t="shared" si="7"/>
        <v>2011</v>
      </c>
      <c r="D63" s="37">
        <f t="shared" si="7"/>
        <v>2012</v>
      </c>
      <c r="E63" s="37">
        <f t="shared" si="7"/>
        <v>2013</v>
      </c>
      <c r="F63" s="37">
        <f t="shared" si="7"/>
        <v>2014</v>
      </c>
      <c r="G63" s="37">
        <f t="shared" si="7"/>
        <v>2015</v>
      </c>
      <c r="I63" s="27" t="s">
        <v>493</v>
      </c>
    </row>
    <row r="64" spans="1:9">
      <c r="A64" s="27"/>
      <c r="B64" s="508"/>
      <c r="C64" s="508"/>
      <c r="D64" s="508"/>
      <c r="E64" s="36"/>
      <c r="F64" s="36"/>
      <c r="G64" s="36"/>
      <c r="I64" s="4" t="s">
        <v>274</v>
      </c>
    </row>
    <row r="65" spans="1:14">
      <c r="A65" s="4" t="s">
        <v>17</v>
      </c>
      <c r="B65" s="28">
        <v>10707.4</v>
      </c>
      <c r="C65" s="28">
        <v>11700.4</v>
      </c>
      <c r="D65" s="28">
        <v>13299.5</v>
      </c>
      <c r="E65" s="28">
        <v>14866.8</v>
      </c>
      <c r="F65" s="28">
        <v>16447.8</v>
      </c>
      <c r="G65" s="28">
        <v>19162.7</v>
      </c>
      <c r="H65" s="38"/>
    </row>
    <row r="66" spans="1:14">
      <c r="A66" s="677" t="s">
        <v>850</v>
      </c>
      <c r="B66" s="28">
        <v>-4458.6000000000004</v>
      </c>
      <c r="C66" s="28">
        <v>-4949.3</v>
      </c>
      <c r="D66" s="28">
        <v>-5813.3</v>
      </c>
      <c r="E66" s="28">
        <v>-6382.3</v>
      </c>
      <c r="F66" s="28">
        <v>-6858.8</v>
      </c>
      <c r="G66" s="28">
        <v>-7787.5</v>
      </c>
    </row>
    <row r="67" spans="1:14">
      <c r="A67" s="31" t="s">
        <v>426</v>
      </c>
      <c r="B67" s="39">
        <f t="shared" ref="B67:G67" si="8">B65+B66</f>
        <v>6248.7999999999993</v>
      </c>
      <c r="C67" s="39">
        <f t="shared" si="8"/>
        <v>6751.0999999999995</v>
      </c>
      <c r="D67" s="39">
        <f t="shared" si="8"/>
        <v>7486.2</v>
      </c>
      <c r="E67" s="39">
        <f t="shared" si="8"/>
        <v>8484.5</v>
      </c>
      <c r="F67" s="39">
        <f t="shared" si="8"/>
        <v>9589</v>
      </c>
      <c r="G67" s="39">
        <f t="shared" si="8"/>
        <v>11375.2</v>
      </c>
      <c r="I67" s="4" t="s">
        <v>275</v>
      </c>
    </row>
    <row r="68" spans="1:14">
      <c r="A68" s="495" t="s">
        <v>740</v>
      </c>
      <c r="B68" s="28">
        <v>-3551.4</v>
      </c>
      <c r="C68" s="28">
        <v>-3665.1</v>
      </c>
      <c r="D68" s="28">
        <v>-3918.1</v>
      </c>
      <c r="E68" s="28">
        <v>-4286.1000000000004</v>
      </c>
      <c r="F68" s="28">
        <v>-4638.2</v>
      </c>
      <c r="G68" s="28">
        <v>-5411.1</v>
      </c>
    </row>
    <row r="69" spans="1:14">
      <c r="A69" s="495" t="s">
        <v>741</v>
      </c>
      <c r="B69" s="28">
        <v>-293.2</v>
      </c>
      <c r="C69" s="28">
        <v>-402</v>
      </c>
      <c r="D69" s="28">
        <v>-429.9</v>
      </c>
      <c r="E69" s="28">
        <v>-431.8</v>
      </c>
      <c r="F69" s="28">
        <v>-457.3</v>
      </c>
      <c r="G69" s="28">
        <v>-522.4</v>
      </c>
      <c r="K69" s="33"/>
      <c r="L69" s="33"/>
      <c r="M69" s="33"/>
    </row>
    <row r="70" spans="1:14">
      <c r="A70" s="495" t="s">
        <v>742</v>
      </c>
      <c r="B70" s="28">
        <v>-510.4</v>
      </c>
      <c r="C70" s="28">
        <v>-523.29999999999995</v>
      </c>
      <c r="D70" s="28">
        <v>-550.29999999999995</v>
      </c>
      <c r="E70" s="28">
        <v>-621.4</v>
      </c>
      <c r="F70" s="28">
        <v>-709.6</v>
      </c>
      <c r="G70" s="28">
        <v>-893.9</v>
      </c>
    </row>
    <row r="71" spans="1:14">
      <c r="A71" s="495" t="s">
        <v>743</v>
      </c>
      <c r="B71" s="28">
        <v>-569.5</v>
      </c>
      <c r="C71" s="28">
        <v>-636.1</v>
      </c>
      <c r="D71" s="28">
        <v>-801.2</v>
      </c>
      <c r="E71" s="28">
        <v>-937.9</v>
      </c>
      <c r="F71" s="28">
        <v>-991.3</v>
      </c>
      <c r="G71" s="28">
        <v>-1196.7</v>
      </c>
      <c r="I71" s="495" t="s">
        <v>625</v>
      </c>
    </row>
    <row r="72" spans="1:14">
      <c r="A72" s="495" t="s">
        <v>805</v>
      </c>
      <c r="B72" s="28"/>
      <c r="C72" s="28"/>
      <c r="D72" s="28"/>
      <c r="E72" s="28"/>
      <c r="F72" s="28"/>
      <c r="G72" s="28"/>
    </row>
    <row r="73" spans="1:14">
      <c r="A73" s="495" t="s">
        <v>806</v>
      </c>
      <c r="B73" s="28"/>
      <c r="C73" s="28"/>
      <c r="D73" s="28"/>
      <c r="E73" s="28"/>
      <c r="F73" s="28"/>
      <c r="G73" s="28"/>
      <c r="I73" s="495" t="s">
        <v>626</v>
      </c>
    </row>
    <row r="74" spans="1:14">
      <c r="A74" s="495" t="s">
        <v>744</v>
      </c>
      <c r="B74" s="28">
        <v>148.1</v>
      </c>
      <c r="C74" s="28">
        <v>173.7</v>
      </c>
      <c r="D74" s="28">
        <v>210.7</v>
      </c>
      <c r="E74" s="28">
        <v>251.4</v>
      </c>
      <c r="F74" s="28">
        <v>268.3</v>
      </c>
      <c r="G74" s="28">
        <v>249.9</v>
      </c>
    </row>
    <row r="75" spans="1:14">
      <c r="A75" s="495" t="s">
        <v>708</v>
      </c>
      <c r="B75" s="28">
        <v>-53</v>
      </c>
      <c r="C75" s="28">
        <v>30.2</v>
      </c>
      <c r="D75" s="28"/>
      <c r="E75" s="28">
        <v>-2784.1</v>
      </c>
      <c r="F75" s="28">
        <v>20.2</v>
      </c>
      <c r="G75" s="28"/>
      <c r="I75" s="4" t="s">
        <v>388</v>
      </c>
    </row>
    <row r="76" spans="1:14">
      <c r="A76" s="31" t="s">
        <v>427</v>
      </c>
      <c r="B76" s="39">
        <f t="shared" ref="B76:G76" si="9">SUM(B67:B75)</f>
        <v>1419.3999999999992</v>
      </c>
      <c r="C76" s="39">
        <f t="shared" si="9"/>
        <v>1728.5</v>
      </c>
      <c r="D76" s="39">
        <f t="shared" si="9"/>
        <v>1997.3999999999996</v>
      </c>
      <c r="E76" s="39">
        <f t="shared" si="9"/>
        <v>-325.40000000000055</v>
      </c>
      <c r="F76" s="39">
        <f t="shared" si="9"/>
        <v>3081.1000000000004</v>
      </c>
      <c r="G76" s="39">
        <f t="shared" si="9"/>
        <v>3601.0000000000014</v>
      </c>
      <c r="I76" s="4" t="s">
        <v>276</v>
      </c>
    </row>
    <row r="77" spans="1:14">
      <c r="A77" s="495" t="s">
        <v>576</v>
      </c>
      <c r="B77" s="28">
        <v>50.3</v>
      </c>
      <c r="C77" s="28">
        <v>115.9</v>
      </c>
      <c r="D77" s="28">
        <v>94.4</v>
      </c>
      <c r="E77" s="28">
        <v>123.6</v>
      </c>
      <c r="F77" s="28">
        <v>142.69999999999999</v>
      </c>
      <c r="G77" s="28">
        <v>43</v>
      </c>
      <c r="J77" s="33"/>
      <c r="K77" s="33"/>
      <c r="L77" s="33"/>
      <c r="M77" s="33"/>
      <c r="N77" s="735"/>
    </row>
    <row r="78" spans="1:14">
      <c r="A78" s="495" t="s">
        <v>577</v>
      </c>
      <c r="B78" s="28">
        <v>-32.700000000000003</v>
      </c>
      <c r="C78" s="28">
        <v>-33.299999999999997</v>
      </c>
      <c r="D78" s="28">
        <v>-32.700000000000003</v>
      </c>
      <c r="E78" s="28">
        <v>-28.1</v>
      </c>
      <c r="F78" s="28">
        <v>-64.099999999999994</v>
      </c>
      <c r="G78" s="28">
        <v>-70.5</v>
      </c>
    </row>
    <row r="79" spans="1:14">
      <c r="A79" s="495" t="s">
        <v>578</v>
      </c>
      <c r="B79" s="28"/>
      <c r="C79" s="28"/>
      <c r="D79" s="28"/>
      <c r="E79" s="28"/>
      <c r="F79" s="28"/>
      <c r="G79" s="28"/>
      <c r="I79" s="4" t="s">
        <v>380</v>
      </c>
    </row>
    <row r="80" spans="1:14">
      <c r="A80" s="495" t="s">
        <v>709</v>
      </c>
      <c r="B80" s="28"/>
      <c r="C80" s="28"/>
      <c r="D80" s="28"/>
      <c r="E80" s="28"/>
      <c r="F80" s="28"/>
      <c r="G80" s="28">
        <f>390.6-61.1</f>
        <v>329.5</v>
      </c>
      <c r="I80" s="495" t="s">
        <v>710</v>
      </c>
    </row>
    <row r="81" spans="1:9">
      <c r="A81" s="31" t="s">
        <v>428</v>
      </c>
      <c r="B81" s="39">
        <f t="shared" ref="B81:G81" si="10">SUM(B76:B80)</f>
        <v>1436.9999999999991</v>
      </c>
      <c r="C81" s="39">
        <f t="shared" si="10"/>
        <v>1811.1000000000001</v>
      </c>
      <c r="D81" s="39">
        <f t="shared" si="10"/>
        <v>2059.1</v>
      </c>
      <c r="E81" s="39">
        <f t="shared" si="10"/>
        <v>-229.90000000000055</v>
      </c>
      <c r="F81" s="39">
        <f t="shared" si="10"/>
        <v>3159.7000000000003</v>
      </c>
      <c r="G81" s="39">
        <f t="shared" si="10"/>
        <v>3903.0000000000014</v>
      </c>
      <c r="I81" s="4" t="s">
        <v>277</v>
      </c>
    </row>
    <row r="82" spans="1:9">
      <c r="A82" s="495" t="s">
        <v>579</v>
      </c>
      <c r="B82" s="28">
        <v>-488.7</v>
      </c>
      <c r="C82" s="28">
        <v>-563.1</v>
      </c>
      <c r="D82" s="28">
        <v>-674.4</v>
      </c>
      <c r="E82" s="28">
        <v>238.7</v>
      </c>
      <c r="F82" s="28">
        <v>-1092</v>
      </c>
      <c r="G82" s="28">
        <v>-1143.7</v>
      </c>
      <c r="I82" s="4" t="s">
        <v>278</v>
      </c>
    </row>
    <row r="83" spans="1:9">
      <c r="A83" s="495" t="s">
        <v>580</v>
      </c>
      <c r="B83" s="28"/>
      <c r="C83" s="28"/>
      <c r="D83" s="28"/>
      <c r="E83" s="28"/>
      <c r="F83" s="28"/>
      <c r="G83" s="28"/>
      <c r="I83" s="4" t="s">
        <v>381</v>
      </c>
    </row>
    <row r="84" spans="1:9">
      <c r="A84" s="495" t="s">
        <v>581</v>
      </c>
      <c r="B84" s="28"/>
      <c r="C84" s="28"/>
      <c r="D84" s="28"/>
      <c r="E84" s="28"/>
      <c r="F84" s="28"/>
      <c r="G84" s="28"/>
      <c r="I84" s="4" t="s">
        <v>382</v>
      </c>
    </row>
    <row r="85" spans="1:9">
      <c r="A85" s="495" t="s">
        <v>582</v>
      </c>
      <c r="B85" s="28"/>
      <c r="C85" s="28"/>
      <c r="D85" s="28"/>
      <c r="E85" s="28"/>
      <c r="F85" s="28"/>
      <c r="G85" s="28"/>
      <c r="I85" s="4" t="s">
        <v>383</v>
      </c>
    </row>
    <row r="86" spans="1:9">
      <c r="A86" s="31" t="s">
        <v>679</v>
      </c>
      <c r="B86" s="32">
        <f t="shared" ref="B86:G86" si="11">SUM(B81:B85)</f>
        <v>948.29999999999905</v>
      </c>
      <c r="C86" s="32">
        <f t="shared" si="11"/>
        <v>1248</v>
      </c>
      <c r="D86" s="32">
        <f t="shared" si="11"/>
        <v>1384.6999999999998</v>
      </c>
      <c r="E86" s="32">
        <f t="shared" si="11"/>
        <v>8.7999999999994429</v>
      </c>
      <c r="F86" s="32">
        <f t="shared" si="11"/>
        <v>2067.7000000000003</v>
      </c>
      <c r="G86" s="32">
        <f t="shared" si="11"/>
        <v>2759.3000000000011</v>
      </c>
      <c r="I86" s="4" t="s">
        <v>279</v>
      </c>
    </row>
    <row r="87" spans="1:9">
      <c r="A87" s="496" t="s">
        <v>678</v>
      </c>
      <c r="B87" s="28">
        <v>-2.7</v>
      </c>
      <c r="C87" s="28">
        <v>-2.2999999999999998</v>
      </c>
      <c r="D87" s="28">
        <v>-0.9</v>
      </c>
      <c r="E87" s="28">
        <v>-0.5</v>
      </c>
      <c r="F87" s="28">
        <v>0.4</v>
      </c>
      <c r="G87" s="28">
        <v>-1.9</v>
      </c>
      <c r="I87" s="495" t="s">
        <v>681</v>
      </c>
    </row>
    <row r="88" spans="1:9">
      <c r="A88" s="31" t="s">
        <v>680</v>
      </c>
      <c r="B88" s="32">
        <f t="shared" ref="B88:G88" si="12">B86+B87</f>
        <v>945.599999999999</v>
      </c>
      <c r="C88" s="32">
        <f t="shared" si="12"/>
        <v>1245.7</v>
      </c>
      <c r="D88" s="32">
        <f t="shared" si="12"/>
        <v>1383.7999999999997</v>
      </c>
      <c r="E88" s="32">
        <f t="shared" si="12"/>
        <v>8.2999999999994429</v>
      </c>
      <c r="F88" s="32">
        <f t="shared" si="12"/>
        <v>2068.1000000000004</v>
      </c>
      <c r="G88" s="32">
        <f t="shared" si="12"/>
        <v>2757.400000000001</v>
      </c>
    </row>
    <row r="89" spans="1:9">
      <c r="A89" s="4" t="s">
        <v>162</v>
      </c>
      <c r="B89" s="28">
        <v>945.6</v>
      </c>
      <c r="C89" s="28">
        <v>1245.7</v>
      </c>
      <c r="D89" s="28">
        <v>1383.8</v>
      </c>
      <c r="E89" s="28">
        <v>8.3000000000000007</v>
      </c>
      <c r="F89" s="28">
        <v>2068.1</v>
      </c>
      <c r="G89" s="28">
        <v>2757.4</v>
      </c>
      <c r="I89" s="4" t="s">
        <v>379</v>
      </c>
    </row>
    <row r="90" spans="1:9">
      <c r="B90" s="35"/>
      <c r="C90" s="35"/>
      <c r="D90" s="35"/>
      <c r="E90" s="35"/>
      <c r="F90" s="35"/>
      <c r="G90" s="35"/>
    </row>
    <row r="91" spans="1:9">
      <c r="A91" s="495" t="s">
        <v>583</v>
      </c>
      <c r="B91" s="28">
        <v>-8.1999999999999993</v>
      </c>
      <c r="C91" s="28">
        <v>-10.9</v>
      </c>
      <c r="D91" s="28">
        <v>-23.599999999999998</v>
      </c>
      <c r="E91" s="28">
        <f>44.3-0.5</f>
        <v>43.8</v>
      </c>
      <c r="F91" s="28">
        <f>-41.7+0.4</f>
        <v>-41.300000000000004</v>
      </c>
      <c r="G91" s="28">
        <f>-224.7+29.2</f>
        <v>-195.5</v>
      </c>
      <c r="I91" s="495" t="s">
        <v>682</v>
      </c>
    </row>
    <row r="92" spans="1:9">
      <c r="A92" s="31" t="s">
        <v>416</v>
      </c>
      <c r="B92" s="32">
        <f t="shared" ref="B92:G92" si="13">B86+B91</f>
        <v>940.099999999999</v>
      </c>
      <c r="C92" s="32">
        <f t="shared" si="13"/>
        <v>1237.0999999999999</v>
      </c>
      <c r="D92" s="32">
        <f t="shared" si="13"/>
        <v>1361.1</v>
      </c>
      <c r="E92" s="32">
        <f t="shared" si="13"/>
        <v>52.59999999999944</v>
      </c>
      <c r="F92" s="32">
        <f t="shared" si="13"/>
        <v>2026.4000000000003</v>
      </c>
      <c r="G92" s="32">
        <f t="shared" si="13"/>
        <v>2563.8000000000011</v>
      </c>
      <c r="I92" s="4" t="s">
        <v>280</v>
      </c>
    </row>
    <row r="93" spans="1:9">
      <c r="B93" s="508"/>
      <c r="C93" s="508"/>
      <c r="D93" s="508"/>
      <c r="E93" s="36"/>
      <c r="F93" s="36"/>
      <c r="G93" s="36"/>
    </row>
    <row r="94" spans="1:9">
      <c r="B94" s="508"/>
      <c r="C94" s="508"/>
      <c r="D94" s="508"/>
      <c r="E94" s="36"/>
      <c r="F94" s="36"/>
      <c r="G94" s="36"/>
    </row>
    <row r="95" spans="1:9">
      <c r="A95" s="25" t="s">
        <v>430</v>
      </c>
      <c r="B95" s="37">
        <f t="shared" ref="B95:G95" si="14">B11</f>
        <v>2010</v>
      </c>
      <c r="C95" s="37">
        <f t="shared" si="14"/>
        <v>2011</v>
      </c>
      <c r="D95" s="37">
        <f t="shared" si="14"/>
        <v>2012</v>
      </c>
      <c r="E95" s="37">
        <f t="shared" si="14"/>
        <v>2013</v>
      </c>
      <c r="F95" s="37">
        <f t="shared" si="14"/>
        <v>2014</v>
      </c>
      <c r="G95" s="37">
        <f t="shared" si="14"/>
        <v>2015</v>
      </c>
      <c r="I95" s="27" t="s">
        <v>494</v>
      </c>
    </row>
    <row r="96" spans="1:9">
      <c r="A96" s="25"/>
      <c r="B96" s="508"/>
      <c r="C96" s="508"/>
      <c r="D96" s="508"/>
      <c r="E96" s="36"/>
      <c r="F96" s="36"/>
      <c r="G96" s="36"/>
      <c r="I96" s="4" t="s">
        <v>387</v>
      </c>
    </row>
    <row r="97" spans="1:12">
      <c r="A97" s="31" t="s">
        <v>417</v>
      </c>
      <c r="B97" s="32">
        <f t="shared" ref="B97:G97" si="15">B86</f>
        <v>948.29999999999905</v>
      </c>
      <c r="C97" s="32">
        <f t="shared" si="15"/>
        <v>1248</v>
      </c>
      <c r="D97" s="32">
        <f t="shared" si="15"/>
        <v>1384.6999999999998</v>
      </c>
      <c r="E97" s="32">
        <f t="shared" si="15"/>
        <v>8.7999999999994429</v>
      </c>
      <c r="F97" s="32">
        <f t="shared" si="15"/>
        <v>2067.7000000000003</v>
      </c>
      <c r="G97" s="32">
        <f t="shared" si="15"/>
        <v>2759.3000000000011</v>
      </c>
      <c r="I97" s="4" t="s">
        <v>384</v>
      </c>
    </row>
    <row r="98" spans="1:12">
      <c r="A98" s="495" t="s">
        <v>584</v>
      </c>
      <c r="B98" s="28">
        <v>540.79999999999995</v>
      </c>
      <c r="C98" s="28">
        <v>550</v>
      </c>
      <c r="D98" s="28">
        <v>580.6</v>
      </c>
      <c r="E98" s="28">
        <v>655.6</v>
      </c>
      <c r="F98" s="28">
        <v>748.4</v>
      </c>
      <c r="G98" s="28">
        <v>933.8</v>
      </c>
    </row>
    <row r="99" spans="1:12">
      <c r="A99" s="495" t="s">
        <v>585</v>
      </c>
      <c r="B99" s="28">
        <f>113.6</f>
        <v>113.6</v>
      </c>
      <c r="C99" s="28">
        <v>145.19999999999999</v>
      </c>
      <c r="D99" s="28">
        <v>153.6</v>
      </c>
      <c r="E99" s="28">
        <v>142.30000000000001</v>
      </c>
      <c r="F99" s="28">
        <v>183.2</v>
      </c>
      <c r="G99" s="28">
        <v>209.8</v>
      </c>
    </row>
    <row r="100" spans="1:12">
      <c r="A100" s="495" t="s">
        <v>586</v>
      </c>
      <c r="B100" s="28">
        <v>-42</v>
      </c>
      <c r="C100" s="28">
        <v>106.2</v>
      </c>
      <c r="D100" s="28">
        <v>61.1</v>
      </c>
      <c r="E100" s="28">
        <v>-1045.9000000000001</v>
      </c>
      <c r="F100" s="28">
        <v>10.199999999999999</v>
      </c>
      <c r="G100" s="28">
        <v>21.2</v>
      </c>
    </row>
    <row r="101" spans="1:12">
      <c r="A101" s="495" t="s">
        <v>587</v>
      </c>
      <c r="B101" s="28">
        <v>-17.199999999999989</v>
      </c>
      <c r="C101" s="28">
        <v>-32.9</v>
      </c>
      <c r="D101" s="28">
        <f>-49.3</f>
        <v>-49.3</v>
      </c>
      <c r="E101" s="28">
        <f>-171.8+115.6</f>
        <v>-56.200000000000017</v>
      </c>
      <c r="F101" s="28">
        <f>-182.7+139.2</f>
        <v>-43.5</v>
      </c>
      <c r="G101" s="28">
        <f>-190.2+148.2</f>
        <v>-42</v>
      </c>
    </row>
    <row r="102" spans="1:12">
      <c r="A102" s="495" t="s">
        <v>588</v>
      </c>
      <c r="B102" s="28">
        <v>-33.4</v>
      </c>
      <c r="C102" s="28">
        <v>-88.7</v>
      </c>
      <c r="D102" s="28">
        <v>-90.3</v>
      </c>
      <c r="E102" s="28">
        <v>-68.3</v>
      </c>
      <c r="F102" s="28">
        <v>-79.7</v>
      </c>
      <c r="G102" s="28">
        <v>-82.8</v>
      </c>
      <c r="J102" s="40"/>
      <c r="K102" s="40"/>
      <c r="L102" s="40"/>
    </row>
    <row r="103" spans="1:12">
      <c r="A103" s="495" t="s">
        <v>589</v>
      </c>
      <c r="B103" s="28">
        <v>123.2</v>
      </c>
      <c r="C103" s="28">
        <v>-422.3</v>
      </c>
      <c r="D103" s="28">
        <v>-273.3</v>
      </c>
      <c r="E103" s="28">
        <v>152.5</v>
      </c>
      <c r="F103" s="28">
        <v>14.3</v>
      </c>
      <c r="G103" s="28">
        <v>-207.9</v>
      </c>
      <c r="L103" s="33"/>
    </row>
    <row r="104" spans="1:12">
      <c r="A104" s="495" t="s">
        <v>590</v>
      </c>
      <c r="B104" s="28"/>
      <c r="C104" s="28"/>
      <c r="D104" s="28"/>
      <c r="E104" s="28"/>
      <c r="F104" s="28"/>
      <c r="G104" s="28"/>
    </row>
    <row r="105" spans="1:12">
      <c r="A105" s="495" t="s">
        <v>687</v>
      </c>
      <c r="B105" s="28"/>
      <c r="C105" s="28"/>
      <c r="D105" s="28"/>
      <c r="E105" s="28"/>
      <c r="F105" s="28"/>
      <c r="G105" s="28"/>
    </row>
    <row r="106" spans="1:12">
      <c r="A106" s="495" t="s">
        <v>688</v>
      </c>
      <c r="B106" s="28"/>
      <c r="C106" s="28"/>
      <c r="D106" s="28"/>
      <c r="E106" s="28"/>
      <c r="F106" s="28"/>
      <c r="G106" s="28"/>
    </row>
    <row r="107" spans="1:12">
      <c r="A107" s="495" t="s">
        <v>593</v>
      </c>
      <c r="B107" s="28">
        <v>-3.6</v>
      </c>
      <c r="C107" s="28">
        <v>227.5</v>
      </c>
      <c r="D107" s="28">
        <v>-105.2</v>
      </c>
      <c r="E107" s="28">
        <v>88.7</v>
      </c>
      <c r="F107" s="28">
        <v>60.4</v>
      </c>
      <c r="G107" s="28">
        <v>137.69999999999999</v>
      </c>
    </row>
    <row r="108" spans="1:12">
      <c r="A108" s="495" t="s">
        <v>643</v>
      </c>
      <c r="B108" s="28"/>
      <c r="C108" s="28"/>
      <c r="D108" s="28"/>
      <c r="E108" s="28">
        <v>298.39999999999998</v>
      </c>
      <c r="F108" s="28">
        <v>309.8</v>
      </c>
      <c r="G108" s="28">
        <v>87.6</v>
      </c>
    </row>
    <row r="109" spans="1:12">
      <c r="A109" s="495" t="s">
        <v>686</v>
      </c>
      <c r="B109" s="28">
        <v>-18.7</v>
      </c>
      <c r="C109" s="28">
        <v>-81.8</v>
      </c>
      <c r="D109" s="28">
        <v>23.7</v>
      </c>
      <c r="E109" s="28">
        <v>47.3</v>
      </c>
      <c r="F109" s="28">
        <v>103.9</v>
      </c>
      <c r="G109" s="28">
        <v>124.4</v>
      </c>
    </row>
    <row r="110" spans="1:12">
      <c r="A110" s="495" t="s">
        <v>745</v>
      </c>
      <c r="B110" s="28">
        <v>24.2</v>
      </c>
      <c r="C110" s="28">
        <v>35.799999999999997</v>
      </c>
      <c r="D110" s="28">
        <v>60.8</v>
      </c>
      <c r="E110" s="28">
        <v>139.9</v>
      </c>
      <c r="F110" s="28">
        <v>140.80000000000001</v>
      </c>
      <c r="G110" s="28">
        <v>170.3</v>
      </c>
    </row>
    <row r="111" spans="1:12">
      <c r="A111" s="495" t="s">
        <v>685</v>
      </c>
      <c r="B111" s="28">
        <f>-23.1+75.5</f>
        <v>52.4</v>
      </c>
      <c r="C111" s="28">
        <f>-30.2-55.2+33.3</f>
        <v>-52.100000000000009</v>
      </c>
      <c r="D111" s="28">
        <v>23.6</v>
      </c>
      <c r="E111" s="28">
        <f>2784.1-80.1+23-258.1</f>
        <v>2468.9</v>
      </c>
      <c r="F111" s="28">
        <f>36.2-2763.9-70.2-114.4</f>
        <v>-2912.3</v>
      </c>
      <c r="G111" s="28">
        <f>53.8-394.3+61.1-132.4</f>
        <v>-411.79999999999995</v>
      </c>
    </row>
    <row r="112" spans="1:12">
      <c r="A112" s="495" t="s">
        <v>597</v>
      </c>
      <c r="B112" s="28">
        <f>17.3</f>
        <v>17.3</v>
      </c>
      <c r="C112" s="28">
        <v>-22.5</v>
      </c>
      <c r="D112" s="28">
        <v>-19.7</v>
      </c>
      <c r="E112" s="28">
        <v>76.3</v>
      </c>
      <c r="F112" s="28">
        <v>4.5999999999999996</v>
      </c>
      <c r="G112" s="28">
        <v>49.5</v>
      </c>
    </row>
    <row r="113" spans="1:15">
      <c r="A113" s="31" t="s">
        <v>689</v>
      </c>
      <c r="B113" s="32">
        <f t="shared" ref="B113:G113" si="16">SUM(B97:B112)</f>
        <v>1704.899999999999</v>
      </c>
      <c r="C113" s="32">
        <f t="shared" si="16"/>
        <v>1612.4</v>
      </c>
      <c r="D113" s="32">
        <f t="shared" si="16"/>
        <v>1750.2999999999993</v>
      </c>
      <c r="E113" s="32">
        <f t="shared" si="16"/>
        <v>2908.2999999999993</v>
      </c>
      <c r="F113" s="32">
        <f>SUM(F97:F112)</f>
        <v>607.80000000000075</v>
      </c>
      <c r="G113" s="32">
        <f t="shared" si="16"/>
        <v>3749.1000000000004</v>
      </c>
      <c r="I113" s="4" t="s">
        <v>281</v>
      </c>
    </row>
    <row r="114" spans="1:15">
      <c r="A114" s="495" t="s">
        <v>598</v>
      </c>
      <c r="B114" s="28"/>
      <c r="C114" s="28"/>
      <c r="D114" s="28"/>
      <c r="E114" s="28"/>
      <c r="F114" s="28"/>
      <c r="G114" s="28"/>
    </row>
    <row r="115" spans="1:15">
      <c r="A115" s="495" t="s">
        <v>599</v>
      </c>
      <c r="B115" s="28">
        <f>-445.8+5.1</f>
        <v>-440.7</v>
      </c>
      <c r="C115" s="28">
        <f>-531.9+117.4</f>
        <v>-414.5</v>
      </c>
      <c r="D115" s="28">
        <f>-856.2+5.3</f>
        <v>-850.90000000000009</v>
      </c>
      <c r="E115" s="28">
        <v>-1151.2</v>
      </c>
      <c r="F115" s="28">
        <v>-1160.9000000000001</v>
      </c>
      <c r="G115" s="28">
        <v>-1303.7</v>
      </c>
    </row>
    <row r="116" spans="1:15">
      <c r="A116" s="495" t="s">
        <v>600</v>
      </c>
      <c r="B116" s="28">
        <f>-549+209.9</f>
        <v>-339.1</v>
      </c>
      <c r="C116" s="28">
        <f>-966+430</f>
        <v>-536</v>
      </c>
      <c r="D116" s="28">
        <f>-1748.6+1796.4</f>
        <v>47.800000000000182</v>
      </c>
      <c r="E116" s="28">
        <f>-785.9+60.2+980</f>
        <v>254.30000000000007</v>
      </c>
      <c r="F116" s="28">
        <f>-1652.5+1454.8+456.1</f>
        <v>258.39999999999998</v>
      </c>
      <c r="G116" s="28">
        <f>-567.4+600.6+18.8</f>
        <v>52.000000000000043</v>
      </c>
    </row>
    <row r="117" spans="1:15">
      <c r="A117" s="495" t="s">
        <v>601</v>
      </c>
      <c r="B117" s="28"/>
      <c r="C117" s="28"/>
      <c r="D117" s="28"/>
      <c r="E117" s="28"/>
      <c r="F117" s="28"/>
      <c r="G117" s="28"/>
    </row>
    <row r="118" spans="1:15">
      <c r="A118" s="495" t="s">
        <v>602</v>
      </c>
      <c r="B118" s="28">
        <v>-12</v>
      </c>
      <c r="C118" s="28">
        <v>-55.8</v>
      </c>
      <c r="D118" s="28">
        <v>-129.1</v>
      </c>
      <c r="E118" s="28">
        <v>-610.4</v>
      </c>
      <c r="F118" s="28">
        <v>0</v>
      </c>
      <c r="G118" s="28">
        <v>-284.3</v>
      </c>
    </row>
    <row r="119" spans="1:15">
      <c r="A119" s="495" t="s">
        <v>670</v>
      </c>
      <c r="B119" s="28"/>
      <c r="C119" s="28"/>
      <c r="D119" s="28"/>
      <c r="E119" s="28"/>
      <c r="F119" s="28"/>
      <c r="G119" s="28"/>
    </row>
    <row r="120" spans="1:15">
      <c r="A120" s="495" t="s">
        <v>671</v>
      </c>
      <c r="B120" s="28">
        <v>2.2999999999999998</v>
      </c>
      <c r="C120" s="28">
        <v>-13.2</v>
      </c>
      <c r="D120" s="28">
        <v>-41.8</v>
      </c>
      <c r="E120" s="28">
        <f>-11.9+108</f>
        <v>96.1</v>
      </c>
      <c r="F120" s="28">
        <f>-19.1+103.9</f>
        <v>84.800000000000011</v>
      </c>
      <c r="G120" s="28">
        <f>6.8+8.9</f>
        <v>15.7</v>
      </c>
    </row>
    <row r="121" spans="1:15">
      <c r="A121" s="31" t="s">
        <v>418</v>
      </c>
      <c r="B121" s="32">
        <f t="shared" ref="B121:G121" si="17">SUM(B114:B120)</f>
        <v>-789.5</v>
      </c>
      <c r="C121" s="32">
        <f t="shared" si="17"/>
        <v>-1019.5</v>
      </c>
      <c r="D121" s="32">
        <f t="shared" si="17"/>
        <v>-973.99999999999989</v>
      </c>
      <c r="E121" s="32">
        <f t="shared" si="17"/>
        <v>-1411.2</v>
      </c>
      <c r="F121" s="32">
        <f t="shared" si="17"/>
        <v>-817.7</v>
      </c>
      <c r="G121" s="32">
        <f t="shared" si="17"/>
        <v>-1520.3</v>
      </c>
      <c r="I121" s="4" t="s">
        <v>282</v>
      </c>
    </row>
    <row r="122" spans="1:15">
      <c r="A122" s="495" t="s">
        <v>603</v>
      </c>
      <c r="B122" s="28"/>
      <c r="C122" s="28">
        <v>30.8</v>
      </c>
      <c r="D122" s="28">
        <v>-30.8</v>
      </c>
      <c r="E122" s="28"/>
      <c r="F122" s="28"/>
      <c r="G122" s="28"/>
    </row>
    <row r="123" spans="1:15">
      <c r="A123" s="495" t="s">
        <v>604</v>
      </c>
      <c r="B123" s="28"/>
      <c r="C123" s="28"/>
      <c r="D123" s="28"/>
      <c r="E123" s="28"/>
      <c r="F123" s="28"/>
      <c r="G123" s="28"/>
    </row>
    <row r="124" spans="1:15">
      <c r="A124" s="495" t="s">
        <v>605</v>
      </c>
      <c r="B124" s="28"/>
      <c r="C124" s="28"/>
      <c r="D124" s="28"/>
      <c r="E124" s="28">
        <f>749.7-35.2</f>
        <v>714.5</v>
      </c>
      <c r="F124" s="28">
        <v>748.5</v>
      </c>
      <c r="G124" s="28">
        <f>848.5-610.1</f>
        <v>238.39999999999998</v>
      </c>
    </row>
    <row r="125" spans="1:15">
      <c r="A125" s="495" t="s">
        <v>606</v>
      </c>
      <c r="B125" s="28"/>
      <c r="C125" s="28"/>
      <c r="D125" s="28"/>
      <c r="E125" s="28"/>
      <c r="F125" s="28"/>
      <c r="G125" s="28"/>
    </row>
    <row r="126" spans="1:15">
      <c r="A126" s="495" t="s">
        <v>607</v>
      </c>
      <c r="B126" s="28">
        <v>132.80000000000001</v>
      </c>
      <c r="C126" s="28">
        <v>250.4</v>
      </c>
      <c r="D126" s="28">
        <v>236.6</v>
      </c>
      <c r="E126" s="28">
        <v>247.2</v>
      </c>
      <c r="F126" s="28">
        <v>139.69999999999999</v>
      </c>
      <c r="G126" s="28">
        <v>191.8</v>
      </c>
    </row>
    <row r="127" spans="1:15">
      <c r="A127" s="495" t="s">
        <v>608</v>
      </c>
      <c r="B127" s="28">
        <f>36.9-4.9</f>
        <v>32</v>
      </c>
      <c r="C127" s="28">
        <f>103.9-15</f>
        <v>88.9</v>
      </c>
      <c r="D127" s="28">
        <f>169.8-58.5</f>
        <v>111.30000000000001</v>
      </c>
      <c r="E127" s="28">
        <f>258.1-121.4</f>
        <v>136.70000000000002</v>
      </c>
      <c r="F127" s="28">
        <f>114.4-77.3</f>
        <v>37.100000000000009</v>
      </c>
      <c r="G127" s="28">
        <f>132.4-75.5</f>
        <v>56.900000000000006</v>
      </c>
    </row>
    <row r="128" spans="1:15">
      <c r="A128" s="495" t="s">
        <v>807</v>
      </c>
      <c r="B128" s="28">
        <v>-285.60000000000002</v>
      </c>
      <c r="C128" s="28">
        <v>-555.9</v>
      </c>
      <c r="D128" s="28">
        <v>-549.1</v>
      </c>
      <c r="E128" s="28">
        <v>-588.1</v>
      </c>
      <c r="F128" s="28">
        <v>-758.6</v>
      </c>
      <c r="G128" s="28">
        <v>-1436.1</v>
      </c>
      <c r="I128" s="33"/>
      <c r="J128" s="33"/>
      <c r="K128" s="33"/>
      <c r="L128" s="33"/>
      <c r="M128" s="33"/>
      <c r="N128" s="33"/>
      <c r="O128" s="33"/>
    </row>
    <row r="129" spans="1:15">
      <c r="A129" s="495" t="s">
        <v>609</v>
      </c>
      <c r="B129" s="28">
        <v>-171</v>
      </c>
      <c r="C129" s="28">
        <v>-389.5</v>
      </c>
      <c r="D129" s="28">
        <v>-513</v>
      </c>
      <c r="E129" s="28">
        <v>-628.9</v>
      </c>
      <c r="F129" s="28">
        <v>-783.1</v>
      </c>
      <c r="G129" s="28">
        <v>-928.6</v>
      </c>
      <c r="I129" s="33"/>
      <c r="J129" s="33"/>
      <c r="K129" s="750"/>
      <c r="L129" s="33"/>
      <c r="M129" s="33"/>
      <c r="N129" s="33"/>
      <c r="O129" s="33"/>
    </row>
    <row r="130" spans="1:15">
      <c r="A130" s="495" t="s">
        <v>610</v>
      </c>
      <c r="B130" s="28">
        <f>-45.8-8.4</f>
        <v>-54.199999999999996</v>
      </c>
      <c r="C130" s="28">
        <f>-27.5-5.2</f>
        <v>-32.700000000000003</v>
      </c>
      <c r="D130" s="28">
        <v>-0.5</v>
      </c>
      <c r="E130" s="28">
        <f>10.4</f>
        <v>10.4</v>
      </c>
      <c r="F130" s="28">
        <v>-6.9</v>
      </c>
      <c r="G130" s="28">
        <f>-18.1-360.8</f>
        <v>-378.90000000000003</v>
      </c>
      <c r="I130" s="33"/>
      <c r="J130" s="33"/>
      <c r="K130" s="33"/>
      <c r="L130" s="33"/>
      <c r="M130" s="33"/>
      <c r="N130" s="33"/>
      <c r="O130" s="33"/>
    </row>
    <row r="131" spans="1:15">
      <c r="A131" s="495" t="s">
        <v>611</v>
      </c>
      <c r="B131" s="28"/>
      <c r="C131" s="28"/>
      <c r="D131" s="28"/>
      <c r="E131" s="28"/>
      <c r="F131" s="28"/>
      <c r="G131" s="28"/>
    </row>
    <row r="132" spans="1:15">
      <c r="A132" s="31" t="s">
        <v>419</v>
      </c>
      <c r="B132" s="32">
        <f t="shared" ref="B132:G132" si="18">SUM(B122:B131)</f>
        <v>-346</v>
      </c>
      <c r="C132" s="32">
        <f t="shared" si="18"/>
        <v>-608</v>
      </c>
      <c r="D132" s="32">
        <f t="shared" si="18"/>
        <v>-745.5</v>
      </c>
      <c r="E132" s="32">
        <f t="shared" si="18"/>
        <v>-108.1999999999999</v>
      </c>
      <c r="F132" s="32">
        <f t="shared" si="18"/>
        <v>-623.29999999999995</v>
      </c>
      <c r="G132" s="32">
        <f t="shared" si="18"/>
        <v>-2256.5</v>
      </c>
      <c r="I132" s="4" t="s">
        <v>283</v>
      </c>
    </row>
    <row r="133" spans="1:15">
      <c r="A133" s="34" t="s">
        <v>34</v>
      </c>
      <c r="B133" s="28">
        <v>-5.2</v>
      </c>
      <c r="C133" s="28">
        <v>-0.8</v>
      </c>
      <c r="D133" s="28">
        <v>9.6999999999999993</v>
      </c>
      <c r="E133" s="28">
        <v>-1.8</v>
      </c>
      <c r="F133" s="28">
        <v>-34.1</v>
      </c>
      <c r="G133" s="28">
        <v>-150.6</v>
      </c>
    </row>
    <row r="134" spans="1:15">
      <c r="A134" s="31" t="s">
        <v>367</v>
      </c>
      <c r="B134" s="32">
        <f t="shared" ref="B134:G134" si="19">B113+B121+B132+B133</f>
        <v>564.19999999999891</v>
      </c>
      <c r="C134" s="32">
        <f t="shared" si="19"/>
        <v>-15.89999999999991</v>
      </c>
      <c r="D134" s="32">
        <f t="shared" si="19"/>
        <v>40.499999999999389</v>
      </c>
      <c r="E134" s="32">
        <f t="shared" si="19"/>
        <v>1387.0999999999995</v>
      </c>
      <c r="F134" s="32">
        <f t="shared" si="19"/>
        <v>-867.29999999999927</v>
      </c>
      <c r="G134" s="32">
        <f t="shared" si="19"/>
        <v>-178.29999999999981</v>
      </c>
      <c r="I134" s="4" t="s">
        <v>385</v>
      </c>
    </row>
    <row r="135" spans="1:15">
      <c r="A135" s="496" t="s">
        <v>612</v>
      </c>
      <c r="B135" s="28">
        <v>599.79999999999995</v>
      </c>
      <c r="C135" s="511">
        <f>B16</f>
        <v>1164</v>
      </c>
      <c r="D135" s="511">
        <f>C16</f>
        <v>1148.0999999999999</v>
      </c>
      <c r="E135" s="511">
        <f>D16</f>
        <v>1188.5999999999999</v>
      </c>
      <c r="F135" s="511">
        <f>E16</f>
        <v>2575.6999999999998</v>
      </c>
      <c r="G135" s="511">
        <f>F16</f>
        <v>1708.4</v>
      </c>
      <c r="I135" s="677" t="s">
        <v>894</v>
      </c>
    </row>
    <row r="136" spans="1:15">
      <c r="A136" s="496" t="s">
        <v>613</v>
      </c>
      <c r="B136" s="511">
        <f t="shared" ref="B136:G136" si="20">B16</f>
        <v>1164</v>
      </c>
      <c r="C136" s="511">
        <f t="shared" si="20"/>
        <v>1148.0999999999999</v>
      </c>
      <c r="D136" s="511">
        <f t="shared" si="20"/>
        <v>1188.5999999999999</v>
      </c>
      <c r="E136" s="511">
        <f t="shared" si="20"/>
        <v>2575.6999999999998</v>
      </c>
      <c r="F136" s="511">
        <f t="shared" si="20"/>
        <v>1708.4</v>
      </c>
      <c r="G136" s="511">
        <f t="shared" si="20"/>
        <v>1530.1</v>
      </c>
    </row>
    <row r="137" spans="1:15">
      <c r="A137" s="34"/>
      <c r="B137" s="507"/>
      <c r="C137" s="507"/>
      <c r="D137" s="507"/>
      <c r="E137" s="26"/>
      <c r="F137" s="26"/>
      <c r="G137" s="26"/>
    </row>
    <row r="138" spans="1:15">
      <c r="A138" s="34"/>
      <c r="B138" s="507"/>
      <c r="C138" s="507"/>
      <c r="D138" s="507"/>
      <c r="E138" s="26"/>
      <c r="F138" s="26"/>
      <c r="G138" s="26"/>
    </row>
    <row r="139" spans="1:15">
      <c r="B139" s="495"/>
      <c r="C139" s="495"/>
      <c r="D139" s="495"/>
    </row>
    <row r="140" spans="1:15">
      <c r="A140" s="25" t="s">
        <v>166</v>
      </c>
      <c r="B140" s="37">
        <f t="shared" ref="B140:G140" si="21">B11</f>
        <v>2010</v>
      </c>
      <c r="C140" s="37">
        <f t="shared" si="21"/>
        <v>2011</v>
      </c>
      <c r="D140" s="37">
        <f t="shared" si="21"/>
        <v>2012</v>
      </c>
      <c r="E140" s="37">
        <f t="shared" si="21"/>
        <v>2013</v>
      </c>
      <c r="F140" s="37">
        <f t="shared" si="21"/>
        <v>2014</v>
      </c>
      <c r="G140" s="37">
        <f t="shared" si="21"/>
        <v>2015</v>
      </c>
      <c r="I140" s="27" t="s">
        <v>495</v>
      </c>
    </row>
    <row r="141" spans="1:15">
      <c r="A141" s="25"/>
      <c r="B141" s="37"/>
      <c r="C141" s="37"/>
      <c r="D141" s="37"/>
      <c r="E141" s="37"/>
      <c r="F141" s="37"/>
      <c r="G141" s="37"/>
    </row>
    <row r="142" spans="1:15">
      <c r="A142" s="496" t="s">
        <v>614</v>
      </c>
      <c r="B142" s="41">
        <v>0.35</v>
      </c>
      <c r="C142" s="41">
        <v>0.35</v>
      </c>
      <c r="D142" s="41">
        <v>0.35</v>
      </c>
      <c r="E142" s="41">
        <v>0.35</v>
      </c>
      <c r="F142" s="41">
        <v>0.35</v>
      </c>
      <c r="G142" s="41">
        <v>0.35</v>
      </c>
      <c r="I142" s="4" t="s">
        <v>284</v>
      </c>
    </row>
    <row r="143" spans="1:15">
      <c r="A143" s="496" t="s">
        <v>615</v>
      </c>
      <c r="B143" s="42">
        <f t="shared" ref="B143:G143" si="22">-B82/B81</f>
        <v>0.34008350730688958</v>
      </c>
      <c r="C143" s="42">
        <f t="shared" si="22"/>
        <v>0.31091601788968032</v>
      </c>
      <c r="D143" s="42">
        <f t="shared" si="22"/>
        <v>0.3275217327958817</v>
      </c>
      <c r="E143" s="42">
        <f t="shared" si="22"/>
        <v>1.03827751196172</v>
      </c>
      <c r="F143" s="42">
        <f t="shared" si="22"/>
        <v>0.34560243061050094</v>
      </c>
      <c r="G143" s="42">
        <f t="shared" si="22"/>
        <v>0.29303100179349212</v>
      </c>
      <c r="H143" s="33"/>
      <c r="I143" s="4" t="s">
        <v>386</v>
      </c>
    </row>
    <row r="144" spans="1:15" s="34" customFormat="1" ht="25.5">
      <c r="A144" s="497" t="s">
        <v>616</v>
      </c>
      <c r="B144" s="43">
        <f t="shared" ref="B144:G144" si="23">(B72+B75+B80)*(1-B142)+B83+B84+B85</f>
        <v>-34.450000000000003</v>
      </c>
      <c r="C144" s="43">
        <f t="shared" si="23"/>
        <v>19.63</v>
      </c>
      <c r="D144" s="43">
        <f t="shared" si="23"/>
        <v>0</v>
      </c>
      <c r="E144" s="43">
        <f t="shared" si="23"/>
        <v>-1809.665</v>
      </c>
      <c r="F144" s="43">
        <f t="shared" si="23"/>
        <v>13.13</v>
      </c>
      <c r="G144" s="43">
        <f t="shared" si="23"/>
        <v>214.17500000000001</v>
      </c>
      <c r="I144" s="34" t="s">
        <v>399</v>
      </c>
    </row>
    <row r="145" spans="1:9" s="34" customFormat="1">
      <c r="A145" s="497" t="s">
        <v>617</v>
      </c>
      <c r="B145" s="28">
        <f>540.8-1.2</f>
        <v>539.59999999999991</v>
      </c>
      <c r="C145" s="28">
        <f>550-2.2</f>
        <v>547.79999999999995</v>
      </c>
      <c r="D145" s="28">
        <f>580.6-4.5</f>
        <v>576.1</v>
      </c>
      <c r="E145" s="28">
        <f>655.6-7.7</f>
        <v>647.9</v>
      </c>
      <c r="F145" s="28">
        <f>748.4-8.7</f>
        <v>739.69999999999993</v>
      </c>
      <c r="G145" s="28">
        <f>933.8-50</f>
        <v>883.8</v>
      </c>
      <c r="I145" s="34" t="s">
        <v>172</v>
      </c>
    </row>
    <row r="146" spans="1:9">
      <c r="A146" s="496" t="s">
        <v>618</v>
      </c>
      <c r="B146" s="28"/>
      <c r="C146" s="28"/>
      <c r="D146" s="28"/>
      <c r="E146" s="28"/>
      <c r="F146" s="28"/>
      <c r="G146" s="28"/>
      <c r="I146" s="4" t="s">
        <v>285</v>
      </c>
    </row>
    <row r="147" spans="1:9">
      <c r="A147" s="495" t="s">
        <v>619</v>
      </c>
      <c r="B147" s="28">
        <f>740.1*2</f>
        <v>1480.2</v>
      </c>
      <c r="C147" s="28">
        <f>745.4*2</f>
        <v>1490.8</v>
      </c>
      <c r="D147" s="28">
        <f>749.3*2</f>
        <v>1498.6</v>
      </c>
      <c r="E147" s="28">
        <f>753.2*2</f>
        <v>1506.4</v>
      </c>
      <c r="F147" s="28">
        <f>749.5*2</f>
        <v>1499</v>
      </c>
      <c r="G147" s="28">
        <v>1485.1</v>
      </c>
      <c r="I147" s="4" t="s">
        <v>400</v>
      </c>
    </row>
    <row r="148" spans="1:9">
      <c r="A148" s="495" t="s">
        <v>620</v>
      </c>
      <c r="B148" s="44">
        <v>0.63890000000000002</v>
      </c>
      <c r="C148" s="44">
        <v>0.83550000000000002</v>
      </c>
      <c r="D148" s="44">
        <v>0.92310000000000003</v>
      </c>
      <c r="E148" s="44">
        <v>0.01</v>
      </c>
      <c r="F148" s="44">
        <v>1.37</v>
      </c>
      <c r="G148" s="44">
        <v>1.84</v>
      </c>
      <c r="I148" s="4" t="s">
        <v>286</v>
      </c>
    </row>
    <row r="149" spans="1:9">
      <c r="A149" s="495" t="s">
        <v>621</v>
      </c>
      <c r="B149" s="510">
        <f t="shared" ref="B149:G149" si="24">-B129/B147</f>
        <v>0.11552492906364005</v>
      </c>
      <c r="C149" s="510">
        <f t="shared" si="24"/>
        <v>0.26126911725248192</v>
      </c>
      <c r="D149" s="510">
        <f t="shared" si="24"/>
        <v>0.34231949819831847</v>
      </c>
      <c r="E149" s="510">
        <f t="shared" si="24"/>
        <v>0.41748539564524689</v>
      </c>
      <c r="F149" s="510">
        <f t="shared" si="24"/>
        <v>0.5224149432955304</v>
      </c>
      <c r="G149" s="510">
        <f t="shared" si="24"/>
        <v>0.62527775907346317</v>
      </c>
      <c r="I149" s="4" t="s">
        <v>287</v>
      </c>
    </row>
    <row r="150" spans="1:9">
      <c r="A150" s="495" t="s">
        <v>724</v>
      </c>
      <c r="B150" s="44">
        <f>25.69/2</f>
        <v>12.845000000000001</v>
      </c>
      <c r="C150" s="44">
        <f>36.2/2</f>
        <v>18.100000000000001</v>
      </c>
      <c r="D150" s="44">
        <f>50.15/2</f>
        <v>25.074999999999999</v>
      </c>
      <c r="E150" s="44">
        <f>76.05/2</f>
        <v>38.024999999999999</v>
      </c>
      <c r="F150" s="44">
        <f>75.46/2</f>
        <v>37.729999999999997</v>
      </c>
      <c r="G150" s="44">
        <v>56.84</v>
      </c>
      <c r="H150" s="505"/>
      <c r="I150" s="4" t="s">
        <v>401</v>
      </c>
    </row>
    <row r="151" spans="1:9">
      <c r="G151" s="495"/>
    </row>
    <row r="152" spans="1:9">
      <c r="B152" s="36"/>
      <c r="C152" s="36"/>
      <c r="D152" s="36"/>
      <c r="E152" s="36"/>
      <c r="F152" s="36"/>
      <c r="G152" s="36"/>
    </row>
    <row r="153" spans="1:9">
      <c r="A153" s="45" t="s">
        <v>423</v>
      </c>
      <c r="B153" s="45"/>
      <c r="C153" s="46"/>
      <c r="D153" s="46"/>
      <c r="E153" s="46"/>
      <c r="F153" s="46"/>
      <c r="G153" s="46"/>
    </row>
    <row r="154" spans="1:9">
      <c r="A154" s="46" t="s">
        <v>163</v>
      </c>
      <c r="B154" s="46">
        <f t="shared" ref="B154:G154" si="25">B33-B60</f>
        <v>0</v>
      </c>
      <c r="C154" s="46">
        <f t="shared" si="25"/>
        <v>0</v>
      </c>
      <c r="D154" s="46">
        <f t="shared" si="25"/>
        <v>0</v>
      </c>
      <c r="E154" s="46">
        <f t="shared" si="25"/>
        <v>0</v>
      </c>
      <c r="F154" s="46">
        <f t="shared" si="25"/>
        <v>0</v>
      </c>
      <c r="G154" s="46">
        <f t="shared" si="25"/>
        <v>6.9999999996070983E-2</v>
      </c>
      <c r="I154" s="4" t="s">
        <v>402</v>
      </c>
    </row>
    <row r="155" spans="1:9">
      <c r="A155" s="46" t="s">
        <v>164</v>
      </c>
      <c r="B155" s="46">
        <f t="shared" ref="B155:G155" si="26">B88-B89</f>
        <v>-1.0231815394945443E-12</v>
      </c>
      <c r="C155" s="46">
        <f t="shared" si="26"/>
        <v>0</v>
      </c>
      <c r="D155" s="46">
        <f t="shared" si="26"/>
        <v>0</v>
      </c>
      <c r="E155" s="46">
        <f t="shared" si="26"/>
        <v>-5.5777604757167865E-13</v>
      </c>
      <c r="F155" s="46">
        <f t="shared" si="26"/>
        <v>0</v>
      </c>
      <c r="G155" s="46">
        <f t="shared" si="26"/>
        <v>0</v>
      </c>
      <c r="I155" s="4" t="s">
        <v>403</v>
      </c>
    </row>
    <row r="156" spans="1:9">
      <c r="A156" s="46" t="s">
        <v>165</v>
      </c>
      <c r="B156" s="46"/>
      <c r="C156" s="46">
        <f>C134-(C16-B16)</f>
        <v>1.8118839761882555E-13</v>
      </c>
      <c r="D156" s="46">
        <f>D134-(D16-C16)</f>
        <v>-6.1106675275368616E-13</v>
      </c>
      <c r="E156" s="46">
        <f>E134-(E16-D16)</f>
        <v>0</v>
      </c>
      <c r="F156" s="46">
        <f>F134-(F16-E16)</f>
        <v>0</v>
      </c>
      <c r="G156" s="46">
        <f>G134-(G16-F16)</f>
        <v>3.694822225952521E-13</v>
      </c>
      <c r="I156" s="4" t="s">
        <v>404</v>
      </c>
    </row>
    <row r="159" spans="1:9">
      <c r="B159" s="47"/>
      <c r="C159" s="47"/>
      <c r="D159" s="47"/>
      <c r="E159" s="47"/>
      <c r="F159" s="47"/>
      <c r="G159" s="47"/>
    </row>
    <row r="160" spans="1:9">
      <c r="C160" s="47"/>
      <c r="D160" s="47"/>
      <c r="E160" s="47"/>
      <c r="F160" s="47"/>
      <c r="G160" s="47"/>
    </row>
    <row r="161" spans="3:7">
      <c r="C161" s="47"/>
      <c r="D161" s="47"/>
      <c r="E161" s="47"/>
      <c r="F161" s="47"/>
      <c r="G161" s="47"/>
    </row>
  </sheetData>
  <phoneticPr fontId="0" type="noConversion"/>
  <pageMargins left="0.75" right="0.75" top="1" bottom="1" header="0.5" footer="0.5"/>
  <pageSetup scale="83" orientation="portrait" r:id="rId1"/>
  <headerFooter alignWithMargins="0"/>
  <rowBreaks count="3" manualBreakCount="3">
    <brk id="60" max="6" man="1"/>
    <brk id="93" max="6" man="1"/>
    <brk id="138" max="6" man="1"/>
  </rowBreaks>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662"/>
  <sheetViews>
    <sheetView topLeftCell="A61" zoomScale="160" zoomScaleNormal="160" workbookViewId="0">
      <selection activeCell="B30" sqref="B30"/>
    </sheetView>
  </sheetViews>
  <sheetFormatPr defaultRowHeight="12.75"/>
  <cols>
    <col min="1" max="1" width="40" style="17" customWidth="1"/>
    <col min="2" max="6" width="10.7109375" style="17" customWidth="1"/>
    <col min="7" max="8" width="9.7109375" style="17" customWidth="1"/>
    <col min="9" max="9" width="10.7109375" style="17" customWidth="1"/>
    <col min="10" max="16384" width="9.140625" style="17"/>
  </cols>
  <sheetData>
    <row r="1" spans="1:19" ht="12.75" customHeight="1">
      <c r="A1" s="1" t="str">
        <f>Data!A1</f>
        <v>Financial Statement Analysis Package (FSAP): Version 9.0</v>
      </c>
      <c r="B1" s="2"/>
      <c r="C1" s="2"/>
      <c r="D1" s="2"/>
      <c r="E1" s="2"/>
      <c r="F1" s="3"/>
      <c r="G1" s="48"/>
      <c r="H1" s="48"/>
      <c r="I1" s="48"/>
      <c r="J1" s="5"/>
      <c r="K1" s="6"/>
      <c r="L1" s="6"/>
      <c r="M1" s="6"/>
      <c r="N1" s="7"/>
    </row>
    <row r="2" spans="1:19" ht="12.75" customHeight="1">
      <c r="A2" s="9" t="str">
        <f>Data!A2</f>
        <v>Financial Reporting, Financial Statement Analysis, and Valuation: A Strategic Perspective, 9th Edition</v>
      </c>
      <c r="B2" s="10"/>
      <c r="C2" s="10"/>
      <c r="D2" s="10"/>
      <c r="E2" s="10"/>
      <c r="F2" s="11"/>
      <c r="G2" s="48"/>
      <c r="H2" s="48"/>
      <c r="I2" s="48"/>
      <c r="J2" s="9" t="s">
        <v>409</v>
      </c>
      <c r="K2" s="10"/>
      <c r="L2" s="10"/>
      <c r="M2" s="10"/>
      <c r="N2" s="11"/>
    </row>
    <row r="3" spans="1:19" ht="12.75" customHeight="1" thickBot="1">
      <c r="A3" s="12" t="s">
        <v>410</v>
      </c>
      <c r="B3" s="13"/>
      <c r="C3" s="13"/>
      <c r="D3" s="13"/>
      <c r="E3" s="13"/>
      <c r="F3" s="14"/>
      <c r="G3" s="48"/>
      <c r="H3" s="48"/>
      <c r="I3" s="48"/>
      <c r="J3" s="15"/>
      <c r="K3" s="13"/>
      <c r="L3" s="13"/>
      <c r="M3" s="13"/>
      <c r="N3" s="14"/>
      <c r="O3" s="48"/>
      <c r="P3" s="48"/>
      <c r="Q3" s="48"/>
      <c r="R3" s="48"/>
      <c r="S3" s="48"/>
    </row>
    <row r="4" spans="1:19" s="48" customFormat="1" ht="12.75" customHeight="1">
      <c r="A4" s="49"/>
      <c r="B4" s="50"/>
      <c r="C4" s="50"/>
      <c r="D4" s="50"/>
      <c r="E4" s="50"/>
      <c r="F4" s="50"/>
      <c r="J4" s="51"/>
      <c r="K4" s="51"/>
      <c r="L4" s="51"/>
      <c r="M4" s="51"/>
      <c r="N4" s="51"/>
    </row>
    <row r="5" spans="1:19" s="48" customFormat="1" ht="12.75" customHeight="1">
      <c r="A5" s="50"/>
      <c r="B5" s="50"/>
      <c r="C5" s="50"/>
      <c r="D5" s="50"/>
      <c r="E5" s="50"/>
      <c r="F5" s="50"/>
      <c r="G5" s="17"/>
      <c r="H5" s="17"/>
      <c r="I5" s="17"/>
      <c r="K5" s="16"/>
      <c r="L5" s="16"/>
      <c r="M5" s="16"/>
      <c r="N5" s="16"/>
      <c r="O5" s="17"/>
      <c r="Q5" s="17"/>
      <c r="S5" s="17"/>
    </row>
    <row r="6" spans="1:19" s="48" customFormat="1" ht="12.75" customHeight="1">
      <c r="A6" s="18" t="s">
        <v>405</v>
      </c>
      <c r="B6" s="50"/>
      <c r="C6" s="50"/>
      <c r="D6" s="50"/>
      <c r="E6" s="50"/>
      <c r="F6" s="50"/>
      <c r="G6" s="17"/>
      <c r="H6" s="17"/>
      <c r="I6" s="17"/>
      <c r="J6" s="52" t="s">
        <v>298</v>
      </c>
      <c r="K6" s="16"/>
      <c r="L6" s="16"/>
      <c r="M6" s="16"/>
      <c r="N6" s="16"/>
    </row>
    <row r="7" spans="1:19" s="48" customFormat="1" ht="12.75" customHeight="1">
      <c r="A7" s="50"/>
      <c r="B7" s="50"/>
      <c r="C7" s="50"/>
      <c r="D7" s="50"/>
      <c r="E7" s="50"/>
      <c r="F7" s="50"/>
      <c r="J7" s="48" t="s">
        <v>299</v>
      </c>
      <c r="K7" s="16"/>
      <c r="L7" s="16"/>
      <c r="M7" s="16"/>
      <c r="N7" s="16"/>
      <c r="O7" s="17"/>
      <c r="P7" s="17"/>
      <c r="Q7" s="17"/>
      <c r="R7" s="17"/>
      <c r="S7" s="17"/>
    </row>
    <row r="8" spans="1:19" ht="12.75" customHeight="1" thickBot="1">
      <c r="A8" s="50"/>
      <c r="B8" s="50"/>
      <c r="C8" s="50"/>
      <c r="D8" s="50"/>
      <c r="E8" s="50"/>
      <c r="F8" s="50"/>
      <c r="G8" s="48"/>
      <c r="H8" s="48"/>
      <c r="I8" s="48"/>
      <c r="J8" s="52"/>
      <c r="K8" s="16"/>
      <c r="L8" s="16"/>
      <c r="M8" s="16"/>
      <c r="N8" s="16"/>
    </row>
    <row r="9" spans="1:19" ht="12.75" customHeight="1">
      <c r="A9" s="53" t="str">
        <f>Data!A9</f>
        <v>Analyst Name:</v>
      </c>
      <c r="B9" s="54" t="str">
        <f>Data!B9</f>
        <v>Wahlen, Baginski &amp; Bradshaw</v>
      </c>
      <c r="C9" s="54"/>
      <c r="D9" s="54"/>
      <c r="E9" s="54"/>
      <c r="F9" s="55"/>
      <c r="G9" s="48"/>
      <c r="H9" s="48"/>
      <c r="I9" s="48"/>
      <c r="J9" s="16"/>
      <c r="K9" s="48"/>
      <c r="L9" s="48"/>
      <c r="M9" s="48"/>
    </row>
    <row r="10" spans="1:19" ht="12.75" customHeight="1" thickBot="1">
      <c r="A10" s="56" t="str">
        <f>Data!A10</f>
        <v>Company Name:</v>
      </c>
      <c r="B10" s="57" t="str">
        <f>Data!B10</f>
        <v>Starbucks</v>
      </c>
      <c r="C10" s="58"/>
      <c r="D10" s="58"/>
      <c r="E10" s="58"/>
      <c r="F10" s="59"/>
      <c r="G10" s="48"/>
      <c r="H10" s="48"/>
      <c r="I10" s="48"/>
      <c r="J10" s="48"/>
      <c r="K10" s="48"/>
      <c r="L10" s="48"/>
      <c r="M10" s="48"/>
      <c r="N10" s="48"/>
      <c r="O10" s="48"/>
      <c r="P10" s="48"/>
      <c r="Q10" s="48"/>
      <c r="R10" s="48"/>
      <c r="S10" s="48"/>
    </row>
    <row r="11" spans="1:19" ht="12.75" customHeight="1">
      <c r="A11" s="50"/>
      <c r="B11" s="50"/>
      <c r="C11" s="50"/>
      <c r="D11" s="50"/>
      <c r="E11" s="50"/>
      <c r="F11" s="50"/>
    </row>
    <row r="12" spans="1:19" ht="12.75" customHeight="1">
      <c r="A12" s="60"/>
      <c r="B12" s="60"/>
      <c r="C12" s="60"/>
      <c r="D12" s="60"/>
      <c r="E12" s="60"/>
      <c r="F12" s="60"/>
    </row>
    <row r="13" spans="1:19" ht="12.75" customHeight="1">
      <c r="A13" s="61" t="s">
        <v>432</v>
      </c>
      <c r="B13" s="62"/>
      <c r="C13" s="62"/>
      <c r="D13" s="62"/>
      <c r="E13" s="62"/>
      <c r="F13" s="63"/>
      <c r="G13" s="48"/>
      <c r="H13" s="48"/>
      <c r="I13" s="48"/>
      <c r="J13" s="48"/>
      <c r="K13" s="48"/>
      <c r="L13" s="48"/>
      <c r="M13" s="48"/>
      <c r="N13" s="48"/>
      <c r="O13" s="48"/>
      <c r="P13" s="48"/>
      <c r="Q13" s="48"/>
      <c r="R13" s="48"/>
      <c r="S13" s="48"/>
    </row>
    <row r="14" spans="1:19" ht="12.75" customHeight="1">
      <c r="A14" s="64" t="str">
        <f>Data!A154</f>
        <v>Assets - Liabilities - Equities</v>
      </c>
      <c r="B14" s="560">
        <f>Data!B154</f>
        <v>0</v>
      </c>
      <c r="C14" s="560">
        <f>Data!C154</f>
        <v>0</v>
      </c>
      <c r="D14" s="560">
        <f>Data!D154</f>
        <v>0</v>
      </c>
      <c r="E14" s="560">
        <f>Data!E154</f>
        <v>0</v>
      </c>
      <c r="F14" s="560">
        <f>Data!F154</f>
        <v>0</v>
      </c>
      <c r="G14" s="48"/>
      <c r="H14" s="48"/>
      <c r="I14" s="48"/>
      <c r="J14" s="16" t="s">
        <v>301</v>
      </c>
      <c r="K14" s="48"/>
      <c r="L14" s="48"/>
      <c r="M14" s="48"/>
      <c r="N14" s="48"/>
      <c r="O14" s="48"/>
      <c r="P14" s="48"/>
      <c r="Q14" s="48"/>
      <c r="R14" s="48"/>
      <c r="S14" s="48"/>
    </row>
    <row r="15" spans="1:19" ht="12.75" customHeight="1">
      <c r="A15" s="65" t="str">
        <f>Data!A155</f>
        <v>Net Income (computed) - Net Income (reported)</v>
      </c>
      <c r="B15" s="560">
        <f>Data!B155</f>
        <v>-1.0231815394945443E-12</v>
      </c>
      <c r="C15" s="560">
        <f>Data!C155</f>
        <v>0</v>
      </c>
      <c r="D15" s="560">
        <f>Data!D155</f>
        <v>0</v>
      </c>
      <c r="E15" s="560">
        <f>Data!E155</f>
        <v>-5.5777604757167865E-13</v>
      </c>
      <c r="F15" s="560">
        <f>Data!F155</f>
        <v>0</v>
      </c>
      <c r="G15" s="48"/>
      <c r="H15" s="48"/>
      <c r="I15" s="48"/>
      <c r="J15" s="16" t="s">
        <v>302</v>
      </c>
      <c r="K15" s="48"/>
      <c r="L15" s="48"/>
      <c r="M15" s="48"/>
      <c r="N15" s="48"/>
      <c r="P15" s="48"/>
      <c r="R15" s="48"/>
    </row>
    <row r="16" spans="1:19" ht="12.75" customHeight="1" thickBot="1">
      <c r="A16" s="64" t="str">
        <f>Data!A156</f>
        <v>Cash Changes</v>
      </c>
      <c r="B16" s="560"/>
      <c r="C16" s="560">
        <f>Data!C156</f>
        <v>1.8118839761882555E-13</v>
      </c>
      <c r="D16" s="560">
        <f>Data!D156</f>
        <v>-6.1106675275368616E-13</v>
      </c>
      <c r="E16" s="560">
        <f>Data!E156</f>
        <v>0</v>
      </c>
      <c r="F16" s="560">
        <f>Data!F156</f>
        <v>0</v>
      </c>
      <c r="G16" s="48"/>
      <c r="H16" s="48"/>
      <c r="I16" s="48"/>
      <c r="J16" s="16" t="s">
        <v>303</v>
      </c>
      <c r="K16" s="48"/>
      <c r="L16" s="48"/>
      <c r="M16" s="48"/>
      <c r="N16" s="48"/>
      <c r="O16" s="48"/>
      <c r="P16" s="48"/>
      <c r="Q16" s="48"/>
      <c r="R16" s="48"/>
      <c r="S16" s="48"/>
    </row>
    <row r="17" spans="1:19" ht="12.75" customHeight="1" thickBot="1">
      <c r="A17" s="66" t="s">
        <v>36</v>
      </c>
      <c r="B17" s="67"/>
      <c r="C17" s="67"/>
      <c r="D17" s="67"/>
      <c r="E17" s="67"/>
      <c r="F17" s="68"/>
    </row>
    <row r="18" spans="1:19" ht="12.75" customHeight="1">
      <c r="A18" s="69"/>
      <c r="B18" s="69"/>
      <c r="C18" s="69"/>
      <c r="D18" s="69"/>
      <c r="E18" s="69"/>
      <c r="F18" s="69"/>
    </row>
    <row r="19" spans="1:19" ht="12.75" customHeight="1" thickBot="1">
      <c r="A19" s="70"/>
      <c r="B19" s="62"/>
      <c r="C19" s="62"/>
      <c r="D19" s="62"/>
      <c r="E19" s="62"/>
      <c r="F19" s="71"/>
      <c r="G19" s="48"/>
      <c r="H19" s="48"/>
      <c r="I19" s="48"/>
      <c r="J19" s="48"/>
      <c r="K19" s="48"/>
      <c r="L19" s="48"/>
      <c r="M19" s="48"/>
    </row>
    <row r="20" spans="1:19" ht="12.75" customHeight="1" thickBot="1">
      <c r="A20" s="72" t="s">
        <v>433</v>
      </c>
      <c r="B20" s="73"/>
      <c r="C20" s="73"/>
      <c r="D20" s="73"/>
      <c r="E20" s="73"/>
      <c r="F20" s="74"/>
      <c r="G20" s="48"/>
      <c r="H20" s="48"/>
      <c r="I20" s="48"/>
      <c r="J20" s="75" t="s">
        <v>496</v>
      </c>
      <c r="K20" s="48"/>
      <c r="L20" s="48"/>
      <c r="M20" s="48"/>
      <c r="N20" s="48"/>
      <c r="O20" s="48"/>
      <c r="P20" s="48"/>
      <c r="Q20" s="48"/>
      <c r="R20" s="48"/>
      <c r="S20" s="48"/>
    </row>
    <row r="21" spans="1:19" ht="12.75" customHeight="1" thickBot="1">
      <c r="A21" s="76" t="s">
        <v>18</v>
      </c>
      <c r="B21" s="77">
        <f>Data!$C$11</f>
        <v>2011</v>
      </c>
      <c r="C21" s="77">
        <f>Data!$D$11</f>
        <v>2012</v>
      </c>
      <c r="D21" s="77">
        <f>Data!$E$11</f>
        <v>2013</v>
      </c>
      <c r="E21" s="77">
        <f>Data!$F$11</f>
        <v>2014</v>
      </c>
      <c r="F21" s="77">
        <f>Data!$G$11</f>
        <v>2015</v>
      </c>
      <c r="G21" s="48"/>
      <c r="H21" s="48"/>
      <c r="I21" s="48"/>
      <c r="J21" s="48"/>
      <c r="K21" s="48"/>
      <c r="L21" s="48"/>
      <c r="M21" s="48"/>
    </row>
    <row r="22" spans="1:19" ht="12.75" customHeight="1">
      <c r="B22" s="62"/>
      <c r="C22" s="62"/>
      <c r="D22" s="62"/>
      <c r="E22" s="62"/>
      <c r="F22" s="78"/>
      <c r="G22" s="48"/>
      <c r="H22" s="48"/>
      <c r="I22" s="48"/>
      <c r="J22" s="48"/>
      <c r="K22" s="48"/>
      <c r="L22" s="48"/>
      <c r="M22" s="48"/>
    </row>
    <row r="23" spans="1:19" ht="12.75" customHeight="1">
      <c r="A23" s="79" t="s">
        <v>167</v>
      </c>
      <c r="B23" s="80"/>
      <c r="C23" s="80"/>
      <c r="D23" s="80"/>
      <c r="E23" s="80"/>
      <c r="F23" s="63"/>
      <c r="J23" s="17" t="s">
        <v>290</v>
      </c>
      <c r="N23" s="48"/>
      <c r="O23" s="48"/>
      <c r="P23" s="48"/>
      <c r="Q23" s="48"/>
      <c r="R23" s="48"/>
      <c r="S23" s="48"/>
    </row>
    <row r="24" spans="1:19" ht="12.75" customHeight="1">
      <c r="A24" s="81" t="s">
        <v>434</v>
      </c>
      <c r="B24" s="82">
        <f>IF(ISERROR((Data!C86+(1-Data!C142)*(-Data!C78))/Data!C65),"",(Data!C86+(1-Data!C142)*(-Data!C78))/Data!C65)</f>
        <v>0.108512956821989</v>
      </c>
      <c r="C24" s="82">
        <f>IF(ISERROR((Data!D86+(1-Data!D142)*(-Data!D78))/Data!D65),"",(Data!D86+(1-Data!D142)*(-Data!D78))/Data!D65)</f>
        <v>0.1057148764991165</v>
      </c>
      <c r="D24" s="82">
        <f>IF(ISERROR((Data!E86+(1-Data!E142)*(-Data!E78))/Data!E65),"",(Data!E86+(1-Data!E142)*(-Data!E78))/Data!E65)</f>
        <v>1.8204993677186378E-3</v>
      </c>
      <c r="E24" s="82">
        <f>IF(ISERROR((Data!F86+(1-Data!F142)*(-Data!F78))/Data!F65),"",(Data!F86+(1-Data!F142)*(-Data!F78))/Data!F65)</f>
        <v>0.12824602682425615</v>
      </c>
      <c r="F24" s="82">
        <f>IF(ISERROR((Data!G86+(1-Data!G142)*(-Data!G78))/Data!G65),"",(Data!G86+(1-Data!G142)*(-Data!G78))/Data!G65)</f>
        <v>0.14638464308265542</v>
      </c>
      <c r="J24" s="17" t="s">
        <v>304</v>
      </c>
      <c r="N24" s="48"/>
      <c r="O24" s="48"/>
      <c r="P24" s="48"/>
      <c r="Q24" s="48"/>
      <c r="R24" s="48"/>
      <c r="S24" s="48"/>
    </row>
    <row r="25" spans="1:19" ht="12.75" customHeight="1">
      <c r="A25" s="81" t="s">
        <v>435</v>
      </c>
      <c r="B25" s="83">
        <f>IF(ISERROR(Data!C65/((Data!B33+Data!C33)/2)),"",Data!C65/((Data!B33+Data!C33)/2))</f>
        <v>1.7023344463601116</v>
      </c>
      <c r="C25" s="83">
        <f>IF(ISERROR(Data!D65/((Data!C33+Data!D33)/2)),"",Data!D65/((Data!C33+Data!D33)/2))</f>
        <v>1.707296721353565</v>
      </c>
      <c r="D25" s="83">
        <f>IF(ISERROR(Data!E65/((Data!D33+Data!E33)/2)),"",Data!E65/((Data!D33+Data!E33)/2))</f>
        <v>1.5065743138139127</v>
      </c>
      <c r="E25" s="83">
        <f>IF(ISERROR(Data!F65/((Data!E33+Data!F33)/2)),"",Data!F65/((Data!E33+Data!F33)/2))</f>
        <v>1.477152710421382</v>
      </c>
      <c r="F25" s="83">
        <f>IF(ISERROR(Data!G65/((Data!F33+Data!G33)/2)),"",Data!G65/((Data!F33+Data!G33)/2))</f>
        <v>1.6520231198923063</v>
      </c>
      <c r="G25" s="48"/>
      <c r="H25" s="48"/>
      <c r="I25" s="48"/>
      <c r="J25" s="48" t="s">
        <v>288</v>
      </c>
      <c r="K25" s="48"/>
      <c r="L25" s="48"/>
      <c r="M25" s="48"/>
      <c r="N25" s="48"/>
      <c r="P25" s="48"/>
      <c r="R25" s="48"/>
    </row>
    <row r="26" spans="1:19" ht="12.75" customHeight="1">
      <c r="A26" s="84" t="s">
        <v>436</v>
      </c>
      <c r="B26" s="82">
        <f>IF(ISERROR((Data!C86+(1-Data!C142)*(-Data!C78))/((Data!B33+Data!C33)/2)),"",(Data!C86+(1-Data!C142)*(-Data!C78))/((Data!B33+Data!C33)/2))</f>
        <v>0.18472534427445933</v>
      </c>
      <c r="C26" s="82">
        <f>IF(ISERROR((Data!D86+(1-Data!D142)*(-Data!D78))/((Data!C33+Data!D33)/2)),"",(Data!D86+(1-Data!D142)*(-Data!D78))/((Data!C33+Data!D33)/2))</f>
        <v>0.18048666204523867</v>
      </c>
      <c r="D26" s="82">
        <f>IF(ISERROR((Data!E86+(1-Data!E142)*(-Data!E78))/((Data!D33+Data!E33)/2)),"",(Data!E86+(1-Data!E142)*(-Data!E78))/((Data!D33+Data!E33)/2))</f>
        <v>2.7427175857193688E-3</v>
      </c>
      <c r="E26" s="82">
        <f>IF(ISERROR((Data!F86+(1-Data!F142)*(-Data!F78))/((Data!E33+Data!F33)/2)),"",(Data!F86+(1-Data!F142)*(-Data!F78))/((Data!E33+Data!F33)/2))</f>
        <v>0.18943896612422323</v>
      </c>
      <c r="F26" s="82">
        <f>IF(ISERROR((Data!G86+(1-Data!G142)*(-Data!G78))/((Data!F33+Data!G33)/2)),"",(Data!G86+(1-Data!G142)*(-Data!G78))/((Data!F33+Data!G33)/2))</f>
        <v>0.24183081476973012</v>
      </c>
      <c r="G26" s="48"/>
      <c r="H26" s="48"/>
      <c r="I26" s="48"/>
      <c r="J26" s="48" t="s">
        <v>289</v>
      </c>
      <c r="K26" s="48"/>
      <c r="L26" s="48"/>
      <c r="M26" s="48"/>
      <c r="N26" s="48"/>
      <c r="O26" s="48"/>
      <c r="P26" s="48"/>
      <c r="Q26" s="48"/>
      <c r="R26" s="48"/>
      <c r="S26" s="48"/>
    </row>
    <row r="27" spans="1:19" ht="12.75" customHeight="1">
      <c r="A27" s="85"/>
      <c r="B27" s="86"/>
      <c r="C27" s="86"/>
      <c r="D27" s="86"/>
      <c r="E27" s="86"/>
      <c r="F27" s="87"/>
      <c r="G27" s="48"/>
      <c r="H27" s="48"/>
      <c r="I27" s="48"/>
      <c r="J27" s="48"/>
      <c r="K27" s="48"/>
      <c r="L27" s="48"/>
      <c r="M27" s="48"/>
    </row>
    <row r="28" spans="1:19" s="48" customFormat="1" ht="12.75" customHeight="1">
      <c r="A28" s="75" t="s">
        <v>168</v>
      </c>
      <c r="B28" s="75"/>
      <c r="C28" s="75"/>
      <c r="D28" s="75"/>
      <c r="E28" s="75"/>
      <c r="F28" s="88"/>
      <c r="J28" s="48" t="s">
        <v>291</v>
      </c>
      <c r="N28" s="17"/>
      <c r="O28" s="17"/>
      <c r="P28" s="17"/>
      <c r="Q28" s="17"/>
      <c r="R28" s="17"/>
      <c r="S28" s="17"/>
    </row>
    <row r="29" spans="1:19" s="48" customFormat="1" ht="12.75" customHeight="1">
      <c r="A29" s="89" t="s">
        <v>434</v>
      </c>
      <c r="B29" s="90">
        <f>IF(ISERROR((Data!C86+((1-Data!C142)*-Data!C78)-Data!C144)/Data!C65),"",(Data!C86+((1-Data!C142)*-Data!C78)-Data!C144)/Data!C65)</f>
        <v>0.10683523640217428</v>
      </c>
      <c r="C29" s="90">
        <f>IF(ISERROR((Data!D86+((1-Data!D142)*-Data!D78)-Data!D144)/Data!D65),"",(Data!D86+((1-Data!D142)*-Data!D78)-Data!D144)/Data!D65)</f>
        <v>0.1057148764991165</v>
      </c>
      <c r="D29" s="90">
        <f>IF(ISERROR((Data!E86+((1-Data!E142)*-Data!E78)-Data!E144)/Data!E65),"",(Data!E86+((1-Data!E142)*-Data!E78)-Data!E144)/Data!E65)</f>
        <v>0.12354575295288828</v>
      </c>
      <c r="E29" s="90">
        <f>IF(ISERROR((Data!F86+((1-Data!F142)*-Data!F78)-Data!F144)/Data!F65),"",(Data!F86+((1-Data!F142)*-Data!F78)-Data!F144)/Data!F65)</f>
        <v>0.12744774377120346</v>
      </c>
      <c r="F29" s="90">
        <f>IF(ISERROR((Data!G86+((1-Data!G142)*-Data!G78)-Data!G144)/Data!G65),"",(Data!G86+((1-Data!G142)*-Data!G78)-Data!G144)/Data!G65)</f>
        <v>0.13520798217370206</v>
      </c>
      <c r="G29" s="17"/>
      <c r="H29" s="17"/>
      <c r="I29" s="17"/>
      <c r="J29" s="17" t="s">
        <v>296</v>
      </c>
      <c r="K29" s="17"/>
      <c r="L29" s="17"/>
      <c r="M29" s="17"/>
      <c r="N29" s="17"/>
      <c r="O29" s="17"/>
      <c r="P29" s="17"/>
      <c r="Q29" s="17"/>
      <c r="R29" s="17"/>
      <c r="S29" s="17"/>
    </row>
    <row r="30" spans="1:19" s="48" customFormat="1" ht="12.75" customHeight="1">
      <c r="A30" s="89" t="s">
        <v>435</v>
      </c>
      <c r="B30" s="91">
        <f>IF(ISERROR(Data!C65/((Data!B33+Data!C33)/2)),"",Data!C65/((Data!B33+Data!C33)/2))</f>
        <v>1.7023344463601116</v>
      </c>
      <c r="C30" s="91">
        <f>IF(ISERROR(Data!D65/((Data!C33+Data!D33)/2)),"",Data!D65/((Data!C33+Data!D33)/2))</f>
        <v>1.707296721353565</v>
      </c>
      <c r="D30" s="91">
        <f>IF(ISERROR(Data!E65/((Data!D33+Data!E33)/2)),"",Data!E65/((Data!D33+Data!E33)/2))</f>
        <v>1.5065743138139127</v>
      </c>
      <c r="E30" s="91">
        <f>IF(ISERROR(Data!F65/((Data!E33+Data!F33)/2)),"",Data!F65/((Data!E33+Data!F33)/2))</f>
        <v>1.477152710421382</v>
      </c>
      <c r="F30" s="91">
        <f>IF(ISERROR(Data!G65/((Data!F33+Data!G33)/2)),"",Data!G65/((Data!F33+Data!G33)/2))</f>
        <v>1.6520231198923063</v>
      </c>
      <c r="G30" s="17"/>
      <c r="H30" s="17"/>
      <c r="I30" s="17"/>
      <c r="J30" s="17"/>
      <c r="K30" s="17"/>
      <c r="L30" s="17"/>
      <c r="M30" s="17"/>
    </row>
    <row r="31" spans="1:19" s="48" customFormat="1" ht="12.75" customHeight="1">
      <c r="A31" s="92" t="s">
        <v>436</v>
      </c>
      <c r="B31" s="90">
        <f>IF(ISERROR((Data!C86+((1-Data!C142)*-Data!C78)-Data!C144)/((Data!B33+Data!C33)/2)),"",(Data!C86+((1-Data!C142)*-Data!C78)-Data!C144)/((Data!B33+Data!C33)/2))</f>
        <v>0.18186930301244697</v>
      </c>
      <c r="C31" s="90">
        <f>IF(ISERROR((Data!D86+((1-Data!D142)*-Data!D78)-Data!D144)/((Data!C33+Data!D33)/2)),"",(Data!D86+((1-Data!D142)*-Data!D78)-Data!D144)/((Data!C33+Data!D33)/2))</f>
        <v>0.18048666204523867</v>
      </c>
      <c r="D31" s="90">
        <f>IF(ISERROR((Data!E86+((1-Data!E142)*-Data!E78)-Data!E144)/((Data!D33+Data!E33)/2)),"",(Data!E86+((1-Data!E142)*-Data!E78)-Data!E144)/((Data!D33+Data!E33)/2))</f>
        <v>0.18613085797962084</v>
      </c>
      <c r="E31" s="90">
        <f>IF(ISERROR((Data!F86+((1-Data!F142)*-Data!F78)-Data!F144)/((Data!E33+Data!F33)/2)),"",(Data!F86+((1-Data!F142)*-Data!F78)-Data!F144)/((Data!E33+Data!F33)/2))</f>
        <v>0.18825978014872297</v>
      </c>
      <c r="F31" s="90">
        <f>IF(ISERROR((Data!G86+((1-Data!G142)*-Data!G78)-Data!G144)/((Data!F33+Data!G33)/2)),"",(Data!G86+((1-Data!G142)*-Data!G78)-Data!G144)/((Data!F33+Data!G33)/2))</f>
        <v>0.22336671254494264</v>
      </c>
      <c r="N31" s="17"/>
      <c r="O31" s="17"/>
      <c r="P31" s="17"/>
      <c r="Q31" s="17"/>
      <c r="R31" s="17"/>
      <c r="S31" s="17"/>
    </row>
    <row r="32" spans="1:19" s="48" customFormat="1" ht="12.75" customHeight="1">
      <c r="A32" s="93"/>
      <c r="B32" s="75"/>
      <c r="C32" s="75"/>
      <c r="D32" s="75"/>
      <c r="E32" s="75"/>
      <c r="F32" s="94"/>
      <c r="N32" s="17"/>
      <c r="O32" s="17"/>
      <c r="P32" s="17"/>
      <c r="Q32" s="17"/>
      <c r="R32" s="17"/>
      <c r="S32" s="17"/>
    </row>
    <row r="33" spans="1:19" ht="12.75" customHeight="1">
      <c r="A33" s="79" t="s">
        <v>169</v>
      </c>
      <c r="B33" s="79"/>
      <c r="C33" s="79"/>
      <c r="D33" s="79"/>
      <c r="E33" s="79"/>
      <c r="F33" s="95"/>
      <c r="G33" s="48"/>
      <c r="H33" s="48"/>
      <c r="I33" s="48"/>
      <c r="J33" s="17" t="s">
        <v>294</v>
      </c>
      <c r="K33" s="48"/>
      <c r="L33" s="48"/>
      <c r="M33" s="48"/>
      <c r="N33" s="48"/>
      <c r="O33" s="48"/>
      <c r="P33" s="48"/>
      <c r="Q33" s="48"/>
      <c r="R33" s="48"/>
      <c r="S33" s="48"/>
    </row>
    <row r="34" spans="1:19" ht="12.75" customHeight="1">
      <c r="A34" s="81" t="s">
        <v>437</v>
      </c>
      <c r="B34" s="82">
        <f>IF(ISERROR((Data!C88-Data!C146)/Data!C65),"",(Data!C88-Data!C146)/Data!C65)</f>
        <v>0.10646644559160372</v>
      </c>
      <c r="C34" s="82">
        <f>IF(ISERROR((Data!D88-Data!D146)/Data!D65),"",(Data!D88-Data!D146)/Data!D65)</f>
        <v>0.10404902439941349</v>
      </c>
      <c r="D34" s="82">
        <f>IF(ISERROR((Data!E88-Data!E146)/Data!E65),"",(Data!E88-Data!E146)/Data!E65)</f>
        <v>5.5829095703173806E-4</v>
      </c>
      <c r="E34" s="82">
        <f>IF(ISERROR((Data!F88-Data!F146)/Data!F65),"",(Data!F88-Data!F146)/Data!F65)</f>
        <v>0.12573718065637959</v>
      </c>
      <c r="F34" s="82">
        <f>IF(ISERROR((Data!G88-Data!G146)/Data!G65),"",(Data!G88-Data!G146)/Data!G65)</f>
        <v>0.143894127654245</v>
      </c>
      <c r="G34" s="48"/>
      <c r="H34" s="48"/>
      <c r="I34" s="48"/>
      <c r="J34" s="17" t="s">
        <v>305</v>
      </c>
      <c r="K34" s="48"/>
      <c r="L34" s="48"/>
      <c r="M34" s="48"/>
      <c r="N34" s="48"/>
      <c r="O34" s="48"/>
      <c r="P34" s="48"/>
      <c r="Q34" s="48"/>
      <c r="R34" s="48"/>
      <c r="S34" s="48"/>
    </row>
    <row r="35" spans="1:19" ht="12.75" customHeight="1">
      <c r="A35" s="81" t="s">
        <v>435</v>
      </c>
      <c r="B35" s="83">
        <f>IF(ISERROR(Data!C65/((Data!B33+Data!C33)/2)),"",Data!C65/((Data!B33+Data!C33)/2))</f>
        <v>1.7023344463601116</v>
      </c>
      <c r="C35" s="83">
        <f>IF(ISERROR(Data!D65/((Data!C33+Data!D33)/2)),"",Data!D65/((Data!C33+Data!D33)/2))</f>
        <v>1.707296721353565</v>
      </c>
      <c r="D35" s="83">
        <f>IF(ISERROR(Data!E65/((Data!D33+Data!E33)/2)),"",Data!E65/((Data!D33+Data!E33)/2))</f>
        <v>1.5065743138139127</v>
      </c>
      <c r="E35" s="83">
        <f>IF(ISERROR(Data!F65/((Data!E33+Data!F33)/2)),"",Data!F65/((Data!E33+Data!F33)/2))</f>
        <v>1.477152710421382</v>
      </c>
      <c r="F35" s="83">
        <f>IF(ISERROR(Data!G65/((Data!F33+Data!G33)/2)),"",Data!G65/((Data!F33+Data!G33)/2))</f>
        <v>1.6520231198923063</v>
      </c>
      <c r="J35" s="48" t="s">
        <v>288</v>
      </c>
      <c r="N35" s="48"/>
      <c r="P35" s="48"/>
      <c r="R35" s="48"/>
    </row>
    <row r="36" spans="1:19" ht="12.75" customHeight="1">
      <c r="A36" s="81" t="s">
        <v>438</v>
      </c>
      <c r="B36" s="83">
        <f>IF(ISERROR(((Data!B33+Data!C33)/2)/((Data!B57+Data!C57)/2)),"",((Data!B33+Data!C33)/2)/((Data!B57+Data!C57)/2))</f>
        <v>1.7055809221301306</v>
      </c>
      <c r="C36" s="83">
        <f>IF(ISERROR(((Data!C33+Data!D33)/2)/((Data!C57+Data!D57)/2)),"",((Data!C33+Data!D33)/2)/((Data!C57+Data!D57)/2))</f>
        <v>1.6410115969201275</v>
      </c>
      <c r="D36" s="83">
        <f>IF(ISERROR(((Data!D33+Data!E33)/2)/((Data!D57+Data!E57)/2)),"",((Data!D33+Data!E33)/2)/((Data!D57+Data!E57)/2))</f>
        <v>2.0581383222792304</v>
      </c>
      <c r="E36" s="83">
        <f>IF(ISERROR(((Data!E33+Data!F33)/2)/((Data!E57+Data!F57)/2)),"",((Data!E33+Data!F33)/2)/((Data!E57+Data!F57)/2))</f>
        <v>2.2835462767375558</v>
      </c>
      <c r="F36" s="83">
        <f>IF(ISERROR(((Data!F33+Data!G33)/2)/((Data!F57+Data!G57)/2)),"",((Data!F33+Data!G33)/2)/((Data!F57+Data!G57)/2))</f>
        <v>2.0918908926961217</v>
      </c>
      <c r="J36" s="17" t="s">
        <v>292</v>
      </c>
      <c r="N36" s="48"/>
      <c r="O36" s="48"/>
      <c r="P36" s="48"/>
      <c r="Q36" s="48"/>
      <c r="R36" s="48"/>
      <c r="S36" s="48"/>
    </row>
    <row r="37" spans="1:19" ht="12.75" customHeight="1">
      <c r="A37" s="84" t="s">
        <v>439</v>
      </c>
      <c r="B37" s="82">
        <f>IF(ISERROR((Data!C88-Data!C146)/((Data!B57+Data!C57)/2)),"",(Data!C88-Data!C146)/((Data!B57+Data!C57)/2))</f>
        <v>0.30912204079606931</v>
      </c>
      <c r="C37" s="82">
        <f>IF(ISERROR((Data!D88-Data!D146)/((Data!C57+Data!D57)/2)),"",(Data!D88-Data!D146)/((Data!C57+Data!D57)/2))</f>
        <v>0.29151349814091149</v>
      </c>
      <c r="D37" s="82">
        <f>IF(ISERROR((Data!E88-Data!E146)/((Data!D57+Data!E57)/2)),"",(Data!E88-Data!E146)/((Data!D57+Data!E57)/2))</f>
        <v>1.7311141701079218E-3</v>
      </c>
      <c r="E37" s="82">
        <f>IF(ISERROR((Data!F88-Data!F146)/((Data!E57+Data!F57)/2)),"",(Data!F88-Data!F146)/((Data!E57+Data!F57)/2))</f>
        <v>0.42412993991099446</v>
      </c>
      <c r="F37" s="82">
        <f>IF(ISERROR((Data!G88-Data!G146)/((Data!F57+Data!G57)/2)),"",(Data!G88-Data!G146)/((Data!F57+Data!G57)/2))</f>
        <v>0.49727682596934186</v>
      </c>
      <c r="G37" s="48"/>
      <c r="H37" s="48"/>
      <c r="I37" s="48"/>
      <c r="J37" s="48" t="s">
        <v>293</v>
      </c>
      <c r="K37" s="48"/>
      <c r="L37" s="48"/>
      <c r="M37" s="48"/>
    </row>
    <row r="38" spans="1:19" ht="12.75" customHeight="1">
      <c r="A38" s="85"/>
      <c r="B38" s="86"/>
      <c r="C38" s="86"/>
      <c r="D38" s="86"/>
      <c r="E38" s="86"/>
      <c r="F38" s="87"/>
      <c r="G38" s="48"/>
      <c r="H38" s="48"/>
      <c r="I38" s="48"/>
      <c r="J38" s="48"/>
      <c r="K38" s="48"/>
      <c r="L38" s="48"/>
      <c r="M38" s="48"/>
    </row>
    <row r="39" spans="1:19" ht="12.75" customHeight="1">
      <c r="A39" s="79" t="s">
        <v>227</v>
      </c>
      <c r="B39" s="79"/>
      <c r="C39" s="79"/>
      <c r="D39" s="79"/>
      <c r="E39" s="79"/>
      <c r="F39" s="95"/>
      <c r="G39" s="48"/>
      <c r="H39" s="48"/>
      <c r="I39" s="48"/>
      <c r="J39" s="48" t="s">
        <v>295</v>
      </c>
      <c r="K39" s="48"/>
      <c r="L39" s="48"/>
      <c r="M39" s="48"/>
    </row>
    <row r="40" spans="1:19" ht="12.75" customHeight="1">
      <c r="A40" s="81" t="s">
        <v>437</v>
      </c>
      <c r="B40" s="90">
        <f>IF(ISERROR((Data!C88-Data!C146-Data!C144)/Data!C65),"",(Data!C88-Data!C146-Data!C144)/Data!C65)</f>
        <v>0.104788725171789</v>
      </c>
      <c r="C40" s="90">
        <f>IF(ISERROR((Data!D88-Data!D146-Data!D144)/Data!D65),"",(Data!D88-Data!D146-Data!D144)/Data!D65)</f>
        <v>0.10404902439941349</v>
      </c>
      <c r="D40" s="90">
        <f>IF(ISERROR((Data!E88-Data!E146-Data!E144)/Data!E65),"",(Data!E88-Data!E146-Data!E144)/Data!E65)</f>
        <v>0.12228354454220139</v>
      </c>
      <c r="E40" s="90">
        <f>IF(ISERROR((Data!F88-Data!F146-Data!F144)/Data!F65),"",(Data!F88-Data!F146-Data!F144)/Data!F65)</f>
        <v>0.12493889760332691</v>
      </c>
      <c r="F40" s="90">
        <f>IF(ISERROR((Data!G88-Data!G146-Data!G144)/Data!G65),"",(Data!G88-Data!G146-Data!G144)/Data!G65)</f>
        <v>0.13271746674529167</v>
      </c>
      <c r="G40" s="48"/>
      <c r="H40" s="48"/>
      <c r="I40" s="48"/>
      <c r="J40" s="17" t="s">
        <v>297</v>
      </c>
      <c r="K40" s="48"/>
      <c r="L40" s="48"/>
      <c r="M40" s="48"/>
      <c r="N40" s="48"/>
      <c r="O40" s="48"/>
      <c r="P40" s="48"/>
      <c r="Q40" s="48"/>
      <c r="R40" s="48"/>
      <c r="S40" s="48"/>
    </row>
    <row r="41" spans="1:19" ht="12.75" customHeight="1">
      <c r="A41" s="81" t="s">
        <v>435</v>
      </c>
      <c r="B41" s="91">
        <f>IF(ISERROR(Data!C65/((Data!B33+Data!C33)/2)),"",Data!C65/((Data!B33+Data!C33)/2))</f>
        <v>1.7023344463601116</v>
      </c>
      <c r="C41" s="91">
        <f>IF(ISERROR(Data!D65/((Data!C33+Data!D33)/2)),"",Data!D65/((Data!C33+Data!D33)/2))</f>
        <v>1.707296721353565</v>
      </c>
      <c r="D41" s="91">
        <f>IF(ISERROR(Data!E65/((Data!D33+Data!E33)/2)),"",Data!E65/((Data!D33+Data!E33)/2))</f>
        <v>1.5065743138139127</v>
      </c>
      <c r="E41" s="91">
        <f>IF(ISERROR(Data!F65/((Data!E33+Data!F33)/2)),"",Data!F65/((Data!E33+Data!F33)/2))</f>
        <v>1.477152710421382</v>
      </c>
      <c r="F41" s="91">
        <f>IF(ISERROR(Data!G65/((Data!F33+Data!G33)/2)),"",Data!G65/((Data!F33+Data!G33)/2))</f>
        <v>1.6520231198923063</v>
      </c>
    </row>
    <row r="42" spans="1:19" ht="12.75" customHeight="1">
      <c r="A42" s="81" t="s">
        <v>438</v>
      </c>
      <c r="B42" s="91">
        <f>IF(ISERROR(((Data!B33+Data!C33)/2)/((Data!B57+Data!C57)/2)),"",((Data!B33+Data!C33)/2)/((Data!B57+Data!C57)/2))</f>
        <v>1.7055809221301306</v>
      </c>
      <c r="C42" s="91">
        <f>IF(ISERROR(((Data!C33+Data!D33)/2)/((Data!C57+Data!D57)/2)),"",((Data!C33+Data!D33)/2)/((Data!C57+Data!D57)/2))</f>
        <v>1.6410115969201275</v>
      </c>
      <c r="D42" s="91">
        <f>IF(ISERROR(((Data!D33+Data!E33)/2)/((Data!D57+Data!E57)/2)),"",((Data!D33+Data!E33)/2)/((Data!D57+Data!E57)/2))</f>
        <v>2.0581383222792304</v>
      </c>
      <c r="E42" s="91">
        <f>IF(ISERROR(((Data!E33+Data!F33)/2)/((Data!E57+Data!F57)/2)),"",((Data!E33+Data!F33)/2)/((Data!E57+Data!F57)/2))</f>
        <v>2.2835462767375558</v>
      </c>
      <c r="F42" s="91">
        <f>IF(ISERROR(((Data!F33+Data!G33)/2)/((Data!F57+Data!G57)/2)),"",((Data!F33+Data!G33)/2)/((Data!F57+Data!G57)/2))</f>
        <v>2.0918908926961217</v>
      </c>
    </row>
    <row r="43" spans="1:19" ht="12.75" customHeight="1">
      <c r="A43" s="84" t="s">
        <v>439</v>
      </c>
      <c r="B43" s="90">
        <f>IF(ISERROR((Data!C88-Data!C146-Data!C144)/((Data!B57+Data!C57)/2)),"",(Data!C88-Data!C146-Data!C144)/((Data!B57+Data!C57)/2))</f>
        <v>0.30425083130676461</v>
      </c>
      <c r="C43" s="90">
        <f>IF(ISERROR((Data!D88-Data!D146-Data!D144)/((Data!C57+Data!D57)/2)),"",(Data!D88-Data!D146-Data!D144)/((Data!C57+Data!D57)/2))</f>
        <v>0.29151349814091149</v>
      </c>
      <c r="D43" s="90">
        <f>IF(ISERROR((Data!E88-Data!E146-Data!E144)/((Data!D57+Data!E57)/2)),"",(Data!E88-Data!E146-Data!E144)/((Data!D57+Data!E57)/2))</f>
        <v>0.37916927376632031</v>
      </c>
      <c r="E43" s="90">
        <f>IF(ISERROR((Data!F88-Data!F146-Data!F144)/((Data!E57+Data!F57)/2)),"",(Data!F88-Data!F146-Data!F144)/((Data!E57+Data!F57)/2))</f>
        <v>0.42143721416705976</v>
      </c>
      <c r="F43" s="90">
        <f>IF(ISERROR((Data!G88-Data!G146-Data!G144)/((Data!F57+Data!G57)/2)),"",(Data!G88-Data!G146-Data!G144)/((Data!F57+Data!G57)/2))</f>
        <v>0.45865193868349874</v>
      </c>
      <c r="G43" s="48"/>
      <c r="H43" s="48"/>
      <c r="I43" s="48"/>
      <c r="J43" s="48"/>
      <c r="K43" s="48"/>
      <c r="L43" s="48"/>
      <c r="M43" s="48"/>
      <c r="N43" s="48"/>
      <c r="O43" s="48"/>
      <c r="P43" s="48"/>
      <c r="Q43" s="48"/>
      <c r="R43" s="48"/>
      <c r="S43" s="48"/>
    </row>
    <row r="44" spans="1:19" ht="12.75" customHeight="1">
      <c r="A44" s="96"/>
      <c r="B44" s="79"/>
      <c r="C44" s="79"/>
      <c r="D44" s="79"/>
      <c r="E44" s="79"/>
      <c r="F44" s="95"/>
      <c r="G44" s="48"/>
      <c r="H44" s="48"/>
      <c r="I44" s="48"/>
      <c r="J44" s="48"/>
      <c r="K44" s="48"/>
      <c r="L44" s="48"/>
      <c r="M44" s="48"/>
      <c r="N44" s="48"/>
      <c r="O44" s="48"/>
      <c r="P44" s="48"/>
      <c r="Q44" s="48"/>
      <c r="R44" s="48"/>
      <c r="S44" s="48"/>
    </row>
    <row r="45" spans="1:19" ht="12.75" customHeight="1">
      <c r="A45" s="79" t="s">
        <v>440</v>
      </c>
      <c r="B45" s="79"/>
      <c r="C45" s="79"/>
      <c r="D45" s="79"/>
      <c r="E45" s="79"/>
      <c r="F45" s="95"/>
      <c r="G45" s="48"/>
      <c r="H45" s="48"/>
      <c r="I45" s="48"/>
      <c r="J45" s="48"/>
      <c r="K45" s="48"/>
      <c r="L45" s="48"/>
      <c r="M45" s="48"/>
      <c r="N45" s="48"/>
      <c r="P45" s="48"/>
      <c r="R45" s="48"/>
    </row>
    <row r="46" spans="1:19" ht="12.75" customHeight="1">
      <c r="A46" s="81" t="s">
        <v>29</v>
      </c>
      <c r="B46" s="82">
        <f>IF(ISERROR(Data!C67/Data!C65),"",Data!C67/Data!C65)</f>
        <v>0.57699736761136367</v>
      </c>
      <c r="C46" s="82">
        <f>IF(ISERROR(Data!D67/Data!D65),"",Data!D67/Data!D65)</f>
        <v>0.56289334185495699</v>
      </c>
      <c r="D46" s="82">
        <f>IF(ISERROR(Data!E67/Data!E65),"",Data!E67/Data!E65)</f>
        <v>0.57070115963085533</v>
      </c>
      <c r="E46" s="82">
        <f>IF(ISERROR(Data!F67/Data!F65),"",Data!F67/Data!F65)</f>
        <v>0.58299590218752662</v>
      </c>
      <c r="F46" s="82">
        <f>IF(ISERROR(Data!G67/Data!G65),"",Data!G67/Data!G65)</f>
        <v>0.59361154743329492</v>
      </c>
      <c r="G46" s="48"/>
      <c r="H46" s="48"/>
      <c r="I46" s="48"/>
      <c r="J46" s="48" t="s">
        <v>371</v>
      </c>
      <c r="K46" s="48"/>
      <c r="L46" s="48"/>
      <c r="M46" s="48"/>
      <c r="N46" s="48"/>
      <c r="O46" s="48"/>
      <c r="P46" s="48"/>
      <c r="Q46" s="48"/>
      <c r="R46" s="48"/>
      <c r="S46" s="48"/>
    </row>
    <row r="47" spans="1:19" ht="12.75" customHeight="1">
      <c r="A47" s="81" t="s">
        <v>101</v>
      </c>
      <c r="B47" s="82">
        <f>IF(ISERROR(Data!C76/Data!C65),"",Data!C76/Data!C65)</f>
        <v>0.14772999213702095</v>
      </c>
      <c r="C47" s="82">
        <f>IF(ISERROR(Data!D76/Data!D65),"",Data!D76/Data!D65)</f>
        <v>0.15018609722170004</v>
      </c>
      <c r="D47" s="82">
        <f>IF(ISERROR(Data!E76/Data!E65),"",Data!E76/Data!E65)</f>
        <v>-2.1887696074474706E-2</v>
      </c>
      <c r="E47" s="82">
        <f>IF(ISERROR(Data!F76/Data!F65),"",Data!F76/Data!F65)</f>
        <v>0.18732596456668979</v>
      </c>
      <c r="F47" s="82">
        <f>IF(ISERROR(Data!G76/Data!G65),"",Data!G76/Data!G65)</f>
        <v>0.18791715154962513</v>
      </c>
      <c r="J47" s="17" t="s">
        <v>372</v>
      </c>
    </row>
    <row r="48" spans="1:19" ht="12.75" customHeight="1">
      <c r="A48" s="89" t="s">
        <v>97</v>
      </c>
      <c r="B48" s="90">
        <f>IF(ISERROR(Data!C88/Data!C65),"",Data!C88/Data!C65)</f>
        <v>0.10646644559160372</v>
      </c>
      <c r="C48" s="90">
        <f>IF(ISERROR(Data!D88/Data!D65),"",Data!D88/Data!D65)</f>
        <v>0.10404902439941349</v>
      </c>
      <c r="D48" s="90">
        <f>IF(ISERROR(Data!E88/Data!E65),"",Data!E88/Data!E65)</f>
        <v>5.5829095703173806E-4</v>
      </c>
      <c r="E48" s="90">
        <f>IF(ISERROR(Data!F88/Data!F65),"",Data!F88/Data!F65)</f>
        <v>0.12573718065637959</v>
      </c>
      <c r="F48" s="90">
        <f>IF(ISERROR(Data!G88/Data!G65),"",Data!G88/Data!G65)</f>
        <v>0.143894127654245</v>
      </c>
      <c r="J48" s="17" t="s">
        <v>373</v>
      </c>
    </row>
    <row r="49" spans="1:19" ht="12.75" customHeight="1">
      <c r="A49" s="81" t="s">
        <v>442</v>
      </c>
      <c r="B49" s="82">
        <f>IF(ISERROR(Data!C92/Data!C65),"",Data!C92/Data!C65)</f>
        <v>0.10573142798536801</v>
      </c>
      <c r="C49" s="82">
        <f>IF(ISERROR(Data!D92/Data!D65),"",Data!D92/Data!D65)</f>
        <v>0.10234219331553818</v>
      </c>
      <c r="D49" s="82">
        <f>IF(ISERROR(Data!E92/Data!E65),"",Data!E92/Data!E65)</f>
        <v>3.5380848602254312E-3</v>
      </c>
      <c r="E49" s="82">
        <f>IF(ISERROR(Data!F92/Data!F65),"",Data!F92/Data!F65)</f>
        <v>0.12320188718248036</v>
      </c>
      <c r="F49" s="82">
        <f>IF(ISERROR(Data!G92/Data!G65),"",Data!G92/Data!G65)</f>
        <v>0.13379116721547596</v>
      </c>
      <c r="G49" s="48"/>
      <c r="H49" s="48"/>
      <c r="I49" s="48"/>
      <c r="J49" s="48" t="s">
        <v>374</v>
      </c>
      <c r="K49" s="48"/>
      <c r="L49" s="48"/>
      <c r="M49" s="48"/>
    </row>
    <row r="50" spans="1:19" ht="12.75" customHeight="1">
      <c r="K50" s="48"/>
      <c r="L50" s="48"/>
      <c r="M50" s="48"/>
      <c r="N50" s="48"/>
      <c r="O50" s="48"/>
      <c r="P50" s="48"/>
      <c r="Q50" s="48"/>
      <c r="R50" s="48"/>
      <c r="S50" s="48"/>
    </row>
    <row r="51" spans="1:19" ht="12.75" customHeight="1">
      <c r="A51" s="97" t="s">
        <v>100</v>
      </c>
      <c r="B51" s="86"/>
      <c r="C51" s="86"/>
      <c r="D51" s="86"/>
      <c r="E51" s="86"/>
      <c r="F51" s="86"/>
      <c r="N51" s="48"/>
      <c r="O51" s="48"/>
      <c r="P51" s="48"/>
      <c r="Q51" s="48"/>
      <c r="R51" s="48"/>
      <c r="S51" s="48"/>
    </row>
    <row r="52" spans="1:19" ht="12.75" customHeight="1">
      <c r="A52" s="81" t="s">
        <v>102</v>
      </c>
      <c r="B52" s="82">
        <f>IF(ISERROR((Data!C76-Data!C75)/Data!C65),"",(Data!C76-Data!C75)/Data!C65)</f>
        <v>0.1451488837988445</v>
      </c>
      <c r="C52" s="82">
        <f>IF(ISERROR((Data!D76-Data!D75)/Data!D65),"",(Data!D76-Data!D75)/Data!D65)</f>
        <v>0.15018609722170004</v>
      </c>
      <c r="D52" s="82">
        <f>IF(ISERROR((Data!E76-Data!E75)/Data!E65),"",(Data!E76-Data!E75)/Data!E65)</f>
        <v>0.16538192482578629</v>
      </c>
      <c r="E52" s="82">
        <f>IF(ISERROR((Data!F76-Data!F75)/Data!F65),"",(Data!F76-Data!F75)/Data!F65)</f>
        <v>0.18609783679276259</v>
      </c>
      <c r="F52" s="82">
        <f>IF(ISERROR((Data!G76-Data!G75)/Data!G65),"",(Data!G76-Data!G75)/Data!G65)</f>
        <v>0.18791715154962513</v>
      </c>
      <c r="G52" s="48"/>
      <c r="H52" s="48"/>
      <c r="I52" s="48"/>
      <c r="J52" s="17" t="s">
        <v>377</v>
      </c>
      <c r="K52" s="48"/>
      <c r="L52" s="48"/>
      <c r="M52" s="48"/>
      <c r="N52" s="48"/>
      <c r="P52" s="48"/>
      <c r="R52" s="48"/>
    </row>
    <row r="53" spans="1:19" ht="12.75" customHeight="1">
      <c r="A53" s="89" t="s">
        <v>103</v>
      </c>
      <c r="B53" s="90">
        <f>IF(ISERROR((Data!C88-Data!C144)/Data!C65),"",(Data!C88-Data!C144)/Data!C65)</f>
        <v>0.104788725171789</v>
      </c>
      <c r="C53" s="90">
        <f>IF(ISERROR((Data!D88-Data!D144)/Data!D65),"",(Data!D88-Data!D144)/Data!D65)</f>
        <v>0.10404902439941349</v>
      </c>
      <c r="D53" s="90">
        <f>IF(ISERROR((Data!E88-Data!E144)/Data!E65),"",(Data!E88-Data!E144)/Data!E65)</f>
        <v>0.12228354454220139</v>
      </c>
      <c r="E53" s="90">
        <f>IF(ISERROR((Data!F88-Data!F144)/Data!F65),"",(Data!F88-Data!F144)/Data!F65)</f>
        <v>0.12493889760332691</v>
      </c>
      <c r="F53" s="90">
        <f>IF(ISERROR((Data!G88-Data!G144)/Data!G65),"",(Data!G88-Data!G144)/Data!G65)</f>
        <v>0.13271746674529167</v>
      </c>
      <c r="G53" s="48"/>
      <c r="H53" s="48"/>
      <c r="I53" s="48"/>
      <c r="J53" s="17" t="s">
        <v>378</v>
      </c>
      <c r="K53" s="48"/>
      <c r="L53" s="48"/>
      <c r="M53" s="48"/>
      <c r="N53" s="48"/>
      <c r="O53" s="48"/>
      <c r="P53" s="48"/>
      <c r="Q53" s="48"/>
      <c r="R53" s="48"/>
      <c r="S53" s="48"/>
    </row>
    <row r="54" spans="1:19" ht="12.75" customHeight="1">
      <c r="A54" s="50"/>
      <c r="B54" s="98"/>
      <c r="C54" s="98"/>
      <c r="D54" s="98"/>
      <c r="E54" s="98"/>
      <c r="F54" s="98"/>
      <c r="G54" s="48"/>
      <c r="H54" s="48"/>
      <c r="I54" s="48"/>
      <c r="J54" s="48"/>
      <c r="K54" s="48"/>
      <c r="L54" s="48"/>
      <c r="M54" s="48"/>
    </row>
    <row r="55" spans="1:19" ht="12.75" customHeight="1">
      <c r="A55" s="99" t="s">
        <v>895</v>
      </c>
      <c r="B55" s="98"/>
      <c r="C55" s="98"/>
      <c r="D55" s="98"/>
      <c r="E55" s="98"/>
      <c r="F55" s="98"/>
      <c r="G55" s="48"/>
      <c r="H55" s="48"/>
      <c r="I55" s="48"/>
      <c r="J55" s="48"/>
      <c r="K55" s="48"/>
      <c r="L55" s="48"/>
      <c r="M55" s="48"/>
    </row>
    <row r="56" spans="1:19" ht="12.75" customHeight="1">
      <c r="A56" s="81" t="s">
        <v>98</v>
      </c>
      <c r="B56" s="82">
        <f>IF(ISERROR(Data!C65/Data!B65-1),"",Data!C65/Data!B65-1)</f>
        <v>9.273960065001785E-2</v>
      </c>
      <c r="C56" s="82">
        <f>IF(ISERROR(Data!D65/Data!C65-1),"",Data!D65/Data!C65-1)</f>
        <v>0.13667054117807931</v>
      </c>
      <c r="D56" s="82">
        <f>IF(ISERROR(Data!E65/Data!D65-1),"",Data!E65/Data!D65-1)</f>
        <v>0.11784653558404456</v>
      </c>
      <c r="E56" s="82">
        <f>IF(ISERROR(Data!F65/Data!E65-1),"",Data!F65/Data!E65-1)</f>
        <v>0.10634433771894414</v>
      </c>
      <c r="F56" s="82">
        <f>IF(ISERROR(Data!G65/Data!F65-1),"",Data!G65/Data!F65-1)</f>
        <v>0.16506158878391042</v>
      </c>
      <c r="J56" s="17" t="s">
        <v>306</v>
      </c>
    </row>
    <row r="57" spans="1:19" ht="12.75" customHeight="1">
      <c r="A57" s="81" t="s">
        <v>99</v>
      </c>
      <c r="B57" s="82">
        <f>IF(ISERROR(Data!C88/Data!B88-1),"",Data!C88/Data!B88-1)</f>
        <v>0.31736463620981525</v>
      </c>
      <c r="C57" s="82">
        <f>IF(ISERROR(Data!D88/Data!C88-1),"",Data!D88/Data!C88-1)</f>
        <v>0.11086136308902605</v>
      </c>
      <c r="D57" s="82">
        <f>IF(ISERROR(Data!E88/Data!D88-1),"",Data!E88/Data!D88-1)</f>
        <v>-0.99400202341378852</v>
      </c>
      <c r="E57" s="82">
        <f>IF(ISERROR(Data!F88/Data!E88-1),"",Data!F88/Data!E88-1)</f>
        <v>248.16867469881194</v>
      </c>
      <c r="F57" s="82">
        <f>IF(ISERROR(Data!G88/Data!F88-1),"",Data!G88/Data!F88-1)</f>
        <v>0.33330109762584037</v>
      </c>
      <c r="J57" s="17" t="s">
        <v>307</v>
      </c>
      <c r="N57" s="48"/>
      <c r="O57" s="48"/>
      <c r="P57" s="48"/>
      <c r="Q57" s="48"/>
      <c r="R57" s="48"/>
      <c r="S57" s="48"/>
    </row>
    <row r="58" spans="1:19" ht="12.75" customHeight="1">
      <c r="A58" s="81" t="s">
        <v>104</v>
      </c>
      <c r="B58" s="90">
        <f>IF(ISERROR(((Data!C88-Data!C144)/(Data!B88-Data!B144))-1),"",((Data!C88-Data!C144)/(Data!B88-Data!B144))-1)</f>
        <v>0.25102800877506359</v>
      </c>
      <c r="C58" s="90">
        <f>IF(ISERROR(((Data!D88-Data!D144)/(Data!C88-Data!C144))-1),"",((Data!D88-Data!D144)/(Data!C88-Data!C144))-1)</f>
        <v>0.12864681461906735</v>
      </c>
      <c r="D58" s="90">
        <f>IF(ISERROR(((Data!E88-Data!E144)/(Data!D88-Data!D144))-1),"",((Data!E88-Data!E144)/(Data!D88-Data!D144))-1)</f>
        <v>0.31374837404249156</v>
      </c>
      <c r="E58" s="90">
        <f>IF(ISERROR(((Data!F88-Data!F144)/(Data!E88-Data!E144))-1),"",((Data!F88-Data!F144)/(Data!E88-Data!E144))-1)</f>
        <v>0.13036829641934844</v>
      </c>
      <c r="F58" s="90">
        <f>IF(ISERROR(((Data!G88-Data!G144)/(Data!F88-Data!F144))-1),"",((Data!G88-Data!G144)/(Data!F88-Data!F144))-1)</f>
        <v>0.23759714253736086</v>
      </c>
      <c r="G58" s="48"/>
      <c r="H58" s="48"/>
      <c r="I58" s="48"/>
      <c r="J58" s="48" t="s">
        <v>308</v>
      </c>
      <c r="K58" s="48"/>
      <c r="L58" s="48"/>
      <c r="M58" s="48"/>
    </row>
    <row r="59" spans="1:19" ht="12.75" customHeight="1">
      <c r="A59" s="52"/>
      <c r="B59" s="100"/>
      <c r="C59" s="100"/>
      <c r="D59" s="100"/>
      <c r="E59" s="100"/>
      <c r="F59" s="100"/>
      <c r="G59" s="48"/>
      <c r="H59" s="48"/>
      <c r="I59" s="48"/>
      <c r="J59" s="48"/>
      <c r="K59" s="48"/>
      <c r="L59" s="48"/>
      <c r="M59" s="48"/>
    </row>
    <row r="60" spans="1:19" ht="12.75" customHeight="1">
      <c r="A60" s="79" t="s">
        <v>309</v>
      </c>
      <c r="B60" s="79"/>
      <c r="C60" s="79"/>
      <c r="D60" s="79"/>
      <c r="E60" s="79"/>
      <c r="F60" s="95"/>
      <c r="G60" s="48"/>
      <c r="H60" s="48"/>
      <c r="I60" s="48"/>
      <c r="J60" s="48"/>
      <c r="K60" s="48"/>
      <c r="L60" s="48"/>
      <c r="M60" s="48"/>
    </row>
    <row r="61" spans="1:19" ht="12.75" customHeight="1">
      <c r="A61" s="81" t="s">
        <v>158</v>
      </c>
      <c r="B61" s="82">
        <f>IF(ISERROR((Data!C67/Data!B67)/(Data!C65/Data!B65)),"",(Data!C67/Data!B67)/(Data!C65/Data!B65))</f>
        <v>0.98869248719144731</v>
      </c>
      <c r="C61" s="82">
        <f>IF(ISERROR((Data!D67/Data!C67)/(Data!D65/Data!C65)),"",(Data!D67/Data!C67)/(Data!D65/Data!C65))</f>
        <v>0.97555616966712666</v>
      </c>
      <c r="D61" s="82">
        <f>IF(ISERROR((Data!E67/Data!D67)/(Data!E65/Data!D65)),"",(Data!E67/Data!D67)/(Data!E65/Data!D65))</f>
        <v>1.0138708653937325</v>
      </c>
      <c r="E61" s="82">
        <f>IF(ISERROR((Data!F67/Data!E67)/(Data!F65/Data!E65)),"",(Data!F67/Data!E67)/(Data!F65/Data!E65))</f>
        <v>1.0215432233651389</v>
      </c>
      <c r="F61" s="82">
        <f>IF(ISERROR((Data!G67/Data!F67)/(Data!G65/Data!F65)),"",(Data!G67/Data!F67)/(Data!G65/Data!F65))</f>
        <v>1.0182087819244288</v>
      </c>
      <c r="G61" s="48"/>
      <c r="H61" s="48"/>
      <c r="I61" s="48"/>
      <c r="J61" s="48" t="s">
        <v>375</v>
      </c>
      <c r="K61" s="48"/>
      <c r="L61" s="48"/>
      <c r="M61" s="48"/>
    </row>
    <row r="62" spans="1:19" ht="12.75" customHeight="1">
      <c r="A62" s="81" t="s">
        <v>159</v>
      </c>
      <c r="B62" s="82">
        <f>IF(ISERROR((Data!C76/Data!B76)/(Data!C65/Data!B65)),"",(Data!C76/Data!B76)/(Data!C65/Data!B65))</f>
        <v>1.1144174424460609</v>
      </c>
      <c r="C62" s="82">
        <f>IF(ISERROR((Data!D76/Data!C76)/(Data!D65/Data!C65)),"",(Data!D76/Data!C76)/(Data!D65/Data!C65))</f>
        <v>1.0166256360617756</v>
      </c>
      <c r="D62" s="82">
        <f>IF(ISERROR((Data!E76/Data!D76)/(Data!E65/Data!D65)),"",(Data!E76/Data!D76)/(Data!E65/Data!D65))</f>
        <v>-0.14573716528611014</v>
      </c>
      <c r="E62" s="82">
        <f>IF(ISERROR((Data!F76/Data!E76)/(Data!F65/Data!E65)),"",(Data!F76/Data!E76)/(Data!F65/Data!E65))</f>
        <v>-8.5585053780579585</v>
      </c>
      <c r="F62" s="82">
        <f>IF(ISERROR((Data!G76/Data!F76)/(Data!G65/Data!F65)),"",(Data!G76/Data!F76)/(Data!G65/Data!F65))</f>
        <v>1.003155926538549</v>
      </c>
      <c r="G62" s="48"/>
      <c r="H62" s="48"/>
      <c r="I62" s="48"/>
      <c r="J62" s="48" t="s">
        <v>376</v>
      </c>
      <c r="K62" s="48"/>
      <c r="L62" s="48"/>
      <c r="M62" s="48"/>
    </row>
    <row r="63" spans="1:19" ht="12.75" customHeight="1">
      <c r="A63" s="773" t="s">
        <v>896</v>
      </c>
      <c r="B63" s="82">
        <f>IF(ISERROR((Data!C86/Data!B86)/(Data!C65/Data!B65)),"",(Data!C86/Data!B86)/(Data!C65/Data!B65))</f>
        <v>1.2043484351711324</v>
      </c>
      <c r="C63" s="82">
        <f>IF(ISERROR((Data!D86/Data!C86)/(Data!D65/Data!C65)),"",(Data!D86/Data!C86)/(Data!D65/Data!C65))</f>
        <v>0.97612739682714111</v>
      </c>
      <c r="D63" s="82">
        <f>IF(ISERROR((Data!E86/Data!D86)/(Data!E65/Data!D65)),"",(Data!E86/Data!D86)/(Data!E65/Data!D65))</f>
        <v>5.6851875297057892E-3</v>
      </c>
      <c r="E63" s="82">
        <f>IF(ISERROR((Data!F86/Data!E86)/(Data!F65/Data!E65)),"",(Data!F86/Data!E86)/(Data!F65/Data!E65))</f>
        <v>212.38045071516854</v>
      </c>
      <c r="F63" s="82">
        <f>IF(ISERROR((Data!G86/Data!F86)/(Data!G65/Data!F65)),"",(Data!G86/Data!F86)/(Data!G65/Data!F65))</f>
        <v>1.1454140580860488</v>
      </c>
      <c r="G63" s="48"/>
      <c r="H63" s="48"/>
      <c r="I63" s="48"/>
      <c r="J63" s="774" t="s">
        <v>897</v>
      </c>
      <c r="K63" s="48"/>
      <c r="L63" s="48"/>
      <c r="M63" s="48"/>
    </row>
    <row r="64" spans="1:19" ht="12.75" customHeight="1">
      <c r="A64" s="773"/>
      <c r="B64" s="86"/>
      <c r="C64" s="86"/>
      <c r="D64" s="86"/>
      <c r="E64" s="86"/>
      <c r="F64" s="86"/>
      <c r="G64" s="48"/>
      <c r="H64" s="48"/>
      <c r="I64" s="48"/>
      <c r="J64" s="48"/>
      <c r="K64" s="48"/>
      <c r="L64" s="48"/>
      <c r="M64" s="48"/>
    </row>
    <row r="65" spans="1:19" ht="12.75" customHeight="1">
      <c r="A65" s="101" t="s">
        <v>310</v>
      </c>
      <c r="G65" s="48"/>
      <c r="H65" s="48"/>
      <c r="I65" s="48"/>
      <c r="J65" s="48"/>
      <c r="K65" s="48"/>
      <c r="L65" s="48"/>
      <c r="M65" s="48"/>
    </row>
    <row r="66" spans="1:19" ht="12.75" customHeight="1">
      <c r="A66" s="81" t="s">
        <v>311</v>
      </c>
      <c r="B66" s="90">
        <f>IF(ISERROR(Data!C67/Data!C65),"",Data!C67/Data!C65)</f>
        <v>0.57699736761136367</v>
      </c>
      <c r="C66" s="90">
        <f>IF(ISERROR(Data!D67/Data!D65),"",Data!D67/Data!D65)</f>
        <v>0.56289334185495699</v>
      </c>
      <c r="D66" s="90">
        <f>IF(ISERROR(Data!E67/Data!E65),"",Data!E67/Data!E65)</f>
        <v>0.57070115963085533</v>
      </c>
      <c r="E66" s="90">
        <f>IF(ISERROR(Data!F67/Data!F65),"",Data!F67/Data!F65)</f>
        <v>0.58299590218752662</v>
      </c>
      <c r="F66" s="90">
        <f>IF(ISERROR(Data!G67/Data!G65),"",Data!G67/Data!G65)</f>
        <v>0.59361154743329492</v>
      </c>
      <c r="G66" s="48"/>
      <c r="H66" s="48"/>
      <c r="I66" s="48"/>
      <c r="J66" s="48" t="s">
        <v>371</v>
      </c>
      <c r="K66" s="48"/>
      <c r="L66" s="48"/>
      <c r="M66" s="48"/>
    </row>
    <row r="67" spans="1:19" ht="12.75" customHeight="1">
      <c r="A67" s="81" t="s">
        <v>312</v>
      </c>
      <c r="B67" s="82">
        <f>IF(ISERROR(Data!C76/Data!C67),"",Data!C76/Data!C67)</f>
        <v>0.25603235028365751</v>
      </c>
      <c r="C67" s="82">
        <f>IF(ISERROR(Data!D76/Data!D67),"",Data!D76/Data!D67)</f>
        <v>0.26681093211509171</v>
      </c>
      <c r="D67" s="82">
        <f>IF(ISERROR(Data!E76/Data!E67),"",Data!E76/Data!E67)</f>
        <v>-3.8352289469031825E-2</v>
      </c>
      <c r="E67" s="82">
        <f>IF(ISERROR(Data!F76/Data!F67),"",Data!F76/Data!F67)</f>
        <v>0.32131609135467726</v>
      </c>
      <c r="F67" s="82">
        <f>IF(ISERROR(Data!G76/Data!G67),"",Data!G76/Data!G67)</f>
        <v>0.31656586257824049</v>
      </c>
      <c r="G67" s="48"/>
      <c r="H67" s="48"/>
      <c r="I67" s="48"/>
      <c r="J67" s="48" t="s">
        <v>318</v>
      </c>
      <c r="K67" s="48"/>
      <c r="L67" s="48"/>
      <c r="M67" s="48"/>
    </row>
    <row r="68" spans="1:19" ht="12.75" customHeight="1">
      <c r="A68" s="81" t="s">
        <v>313</v>
      </c>
      <c r="B68" s="82">
        <f>IF(ISERROR(Data!C81/Data!C76),"",Data!C81/Data!C76)</f>
        <v>1.0477870986404398</v>
      </c>
      <c r="C68" s="82">
        <f>IF(ISERROR(Data!D81/Data!D76),"",Data!D81/Data!D76)</f>
        <v>1.0308901572043658</v>
      </c>
      <c r="D68" s="82">
        <f>IF(ISERROR(Data!E81/Data!E76),"",Data!E81/Data!E76)</f>
        <v>0.70651505838967477</v>
      </c>
      <c r="E68" s="82">
        <f>IF(ISERROR(Data!F81/Data!F76),"",Data!F81/Data!F76)</f>
        <v>1.0255103696731687</v>
      </c>
      <c r="F68" s="82">
        <f>IF(ISERROR(Data!G81/Data!G76),"",Data!G81/Data!G76)</f>
        <v>1.0838655928908636</v>
      </c>
      <c r="G68" s="48"/>
      <c r="H68" s="48"/>
      <c r="I68" s="48"/>
      <c r="J68" s="48" t="s">
        <v>319</v>
      </c>
      <c r="K68" s="48"/>
      <c r="L68" s="48"/>
      <c r="M68" s="48"/>
    </row>
    <row r="69" spans="1:19" ht="12.75" customHeight="1">
      <c r="A69" s="81" t="s">
        <v>314</v>
      </c>
      <c r="B69" s="82">
        <f>IF(ISERROR(Data!C86/Data!C81),"",Data!C86/Data!C81)</f>
        <v>0.68908398211031963</v>
      </c>
      <c r="C69" s="82">
        <f>IF(ISERROR(Data!D86/Data!D81),"",Data!D86/Data!D81)</f>
        <v>0.6724782672041183</v>
      </c>
      <c r="D69" s="82">
        <f>IF(ISERROR(Data!E86/Data!E81),"",Data!E86/Data!E81)</f>
        <v>-3.8277511961719975E-2</v>
      </c>
      <c r="E69" s="82">
        <f>IF(ISERROR(Data!F86/Data!F81),"",Data!F86/Data!F81)</f>
        <v>0.654397569389499</v>
      </c>
      <c r="F69" s="82">
        <f>IF(ISERROR(Data!G86/Data!G81),"",Data!G86/Data!G81)</f>
        <v>0.70696899820650783</v>
      </c>
      <c r="G69" s="48"/>
      <c r="H69" s="48"/>
      <c r="I69" s="48"/>
      <c r="J69" s="48" t="s">
        <v>320</v>
      </c>
      <c r="K69" s="48"/>
      <c r="L69" s="48"/>
      <c r="M69" s="48"/>
    </row>
    <row r="70" spans="1:19" ht="12.75" customHeight="1">
      <c r="A70" s="81" t="s">
        <v>315</v>
      </c>
      <c r="B70" s="82">
        <f>IF(ISERROR(Data!C86/Data!C65),"",Data!C86/Data!C65)</f>
        <v>0.10666302006769</v>
      </c>
      <c r="C70" s="82">
        <f>IF(ISERROR(Data!D86/Data!D65),"",Data!D86/Data!D65)</f>
        <v>0.10411669611639535</v>
      </c>
      <c r="D70" s="82">
        <f>IF(ISERROR(Data!E86/Data!E65),"",Data!E86/Data!E65)</f>
        <v>5.9192294239509798E-4</v>
      </c>
      <c r="E70" s="82">
        <f>IF(ISERROR(Data!F86/Data!F65),"",Data!F86/Data!F65)</f>
        <v>0.12571286129451967</v>
      </c>
      <c r="F70" s="82">
        <f>IF(ISERROR(Data!G86/Data!G65),"",Data!G86/Data!G65)</f>
        <v>0.14399327860896435</v>
      </c>
      <c r="G70" s="549"/>
      <c r="H70" s="48"/>
      <c r="I70" s="48"/>
      <c r="J70" s="48" t="s">
        <v>321</v>
      </c>
      <c r="K70" s="48"/>
      <c r="L70" s="48"/>
      <c r="M70" s="48"/>
    </row>
    <row r="71" spans="1:19" ht="12.75" customHeight="1">
      <c r="A71" s="81"/>
      <c r="B71" s="82"/>
      <c r="C71" s="82"/>
      <c r="D71" s="82"/>
      <c r="E71" s="82"/>
      <c r="F71" s="82"/>
      <c r="G71" s="549"/>
      <c r="H71" s="48"/>
      <c r="I71" s="48"/>
      <c r="J71" s="48"/>
      <c r="K71" s="48"/>
      <c r="L71" s="48"/>
      <c r="M71" s="48"/>
    </row>
    <row r="72" spans="1:19" ht="12.75" customHeight="1">
      <c r="A72" s="102" t="s">
        <v>179</v>
      </c>
      <c r="B72" s="82"/>
      <c r="C72" s="82"/>
      <c r="D72" s="82"/>
      <c r="E72" s="82"/>
      <c r="F72" s="82"/>
      <c r="G72" s="48"/>
      <c r="H72" s="48"/>
      <c r="I72" s="48"/>
      <c r="J72" s="48"/>
      <c r="K72" s="48"/>
      <c r="L72" s="48"/>
      <c r="M72" s="48"/>
    </row>
    <row r="73" spans="1:19" ht="12.75" customHeight="1">
      <c r="A73" s="81" t="s">
        <v>316</v>
      </c>
      <c r="B73" s="82">
        <f>IF(ISERROR(Data!C92/Data!C86),"",Data!C92/Data!C86)</f>
        <v>0.99126602564102562</v>
      </c>
      <c r="C73" s="82">
        <f>IF(ISERROR(Data!D92/Data!D86),"",Data!D92/Data!D86)</f>
        <v>0.98295659709684413</v>
      </c>
      <c r="D73" s="82">
        <f>IF(ISERROR(Data!E92/Data!E86),"",Data!E92/Data!E86)</f>
        <v>5.9772727272730419</v>
      </c>
      <c r="E73" s="82">
        <f>IF(ISERROR(Data!F92/Data!F86),"",Data!F92/Data!F86)</f>
        <v>0.98002611597427092</v>
      </c>
      <c r="F73" s="82">
        <f>IF(ISERROR(Data!G92/Data!G86),"",Data!G92/Data!G86)</f>
        <v>0.92914869713333093</v>
      </c>
      <c r="G73" s="48"/>
      <c r="H73" s="48"/>
      <c r="I73" s="48"/>
      <c r="J73" s="48" t="s">
        <v>322</v>
      </c>
      <c r="K73" s="48"/>
      <c r="L73" s="48"/>
      <c r="M73" s="48"/>
    </row>
    <row r="74" spans="1:19" ht="12.75" customHeight="1">
      <c r="A74" s="81" t="s">
        <v>317</v>
      </c>
      <c r="B74" s="82">
        <f>IF(ISERROR(Data!C92/Data!C65),"",Data!C92/Data!C65)</f>
        <v>0.10573142798536801</v>
      </c>
      <c r="C74" s="82">
        <f>IF(ISERROR(Data!D92/Data!D65),"",Data!D92/Data!D65)</f>
        <v>0.10234219331553818</v>
      </c>
      <c r="D74" s="82">
        <f>IF(ISERROR(Data!E92/Data!E65),"",Data!E92/Data!E65)</f>
        <v>3.5380848602254312E-3</v>
      </c>
      <c r="E74" s="82">
        <f>IF(ISERROR(Data!F92/Data!F65),"",Data!F92/Data!F65)</f>
        <v>0.12320188718248036</v>
      </c>
      <c r="F74" s="82">
        <f>IF(ISERROR(Data!G92/Data!G65),"",Data!G92/Data!G65)</f>
        <v>0.13379116721547596</v>
      </c>
      <c r="G74" s="48"/>
      <c r="H74" s="48"/>
      <c r="I74" s="48"/>
      <c r="J74" s="48" t="s">
        <v>323</v>
      </c>
      <c r="K74" s="48"/>
      <c r="L74" s="48"/>
      <c r="M74" s="48"/>
    </row>
    <row r="75" spans="1:19" ht="12.75" customHeight="1">
      <c r="A75" s="52"/>
      <c r="B75" s="100"/>
      <c r="C75" s="100"/>
      <c r="D75" s="100"/>
      <c r="E75" s="100"/>
      <c r="F75" s="100"/>
      <c r="G75" s="48"/>
      <c r="H75" s="48"/>
      <c r="I75" s="48"/>
      <c r="J75" s="48"/>
      <c r="K75" s="48"/>
      <c r="L75" s="48"/>
      <c r="M75" s="48"/>
    </row>
    <row r="76" spans="1:19" ht="12.75" customHeight="1" thickBot="1">
      <c r="A76" s="52"/>
      <c r="B76" s="100"/>
      <c r="C76" s="100"/>
      <c r="D76" s="100"/>
      <c r="E76" s="100"/>
      <c r="F76" s="100"/>
      <c r="G76" s="48"/>
      <c r="H76" s="48"/>
      <c r="I76" s="48"/>
      <c r="J76" s="48"/>
      <c r="K76" s="48"/>
      <c r="L76" s="48"/>
      <c r="M76" s="48"/>
    </row>
    <row r="77" spans="1:19" ht="12.75" customHeight="1" thickBot="1">
      <c r="A77" s="103" t="s">
        <v>445</v>
      </c>
      <c r="B77" s="104"/>
      <c r="C77" s="104"/>
      <c r="D77" s="104"/>
      <c r="E77" s="104"/>
      <c r="F77" s="105"/>
      <c r="G77" s="48"/>
      <c r="H77" s="48"/>
      <c r="I77" s="48"/>
      <c r="J77" s="75" t="s">
        <v>497</v>
      </c>
      <c r="K77" s="48"/>
      <c r="L77" s="48"/>
      <c r="M77" s="48"/>
      <c r="N77" s="48"/>
      <c r="O77" s="48"/>
      <c r="P77" s="48"/>
      <c r="Q77" s="48"/>
      <c r="R77" s="48"/>
      <c r="S77" s="48"/>
    </row>
    <row r="78" spans="1:19" ht="12.75" customHeight="1" thickBot="1">
      <c r="A78" s="76" t="s">
        <v>18</v>
      </c>
      <c r="B78" s="77">
        <f>Data!$C$11</f>
        <v>2011</v>
      </c>
      <c r="C78" s="77">
        <f>Data!$D$11</f>
        <v>2012</v>
      </c>
      <c r="D78" s="77">
        <f>Data!$E$11</f>
        <v>2013</v>
      </c>
      <c r="E78" s="77">
        <f>Data!$F$11</f>
        <v>2014</v>
      </c>
      <c r="F78" s="77">
        <f>Data!$G$11</f>
        <v>2015</v>
      </c>
      <c r="N78" s="48"/>
      <c r="P78" s="48"/>
      <c r="R78" s="48"/>
    </row>
    <row r="79" spans="1:19" ht="12.75" customHeight="1">
      <c r="A79" s="70"/>
      <c r="B79" s="80"/>
      <c r="C79" s="80"/>
      <c r="D79" s="80"/>
      <c r="E79" s="80"/>
      <c r="F79" s="62"/>
      <c r="N79" s="48"/>
      <c r="O79" s="48"/>
      <c r="P79" s="48"/>
      <c r="Q79" s="48"/>
      <c r="R79" s="48"/>
      <c r="S79" s="48"/>
    </row>
    <row r="80" spans="1:19" ht="12.75" customHeight="1">
      <c r="A80" s="79" t="s">
        <v>446</v>
      </c>
      <c r="B80" s="80"/>
      <c r="C80" s="80"/>
      <c r="D80" s="80"/>
      <c r="E80" s="80"/>
      <c r="F80" s="62"/>
      <c r="G80" s="48"/>
      <c r="H80" s="48"/>
      <c r="I80" s="48"/>
      <c r="J80" s="48"/>
      <c r="K80" s="48"/>
      <c r="L80" s="48"/>
      <c r="M80" s="48"/>
    </row>
    <row r="81" spans="1:19" ht="12.75" customHeight="1">
      <c r="A81" s="81" t="s">
        <v>447</v>
      </c>
      <c r="B81" s="106">
        <f>IF(ISERROR(Data!C24/Data!C44),"",Data!C24/Data!C44)</f>
        <v>1.8281626360921091</v>
      </c>
      <c r="C81" s="106">
        <f>IF(ISERROR(Data!D24/Data!D44),"",Data!D24/Data!D44)</f>
        <v>1.9004434790478777</v>
      </c>
      <c r="D81" s="106">
        <f>IF(ISERROR(Data!E24/Data!E44),"",Data!E24/Data!E44)</f>
        <v>1.0174994885909285</v>
      </c>
      <c r="E81" s="106">
        <f>IF(ISERROR(Data!F24/Data!F44),"",Data!F24/Data!F44)</f>
        <v>1.3718695494783952</v>
      </c>
      <c r="F81" s="106">
        <f>IF(ISERROR(Data!G24/Data!G44),"",Data!G24/Data!G44)</f>
        <v>1.1913972902696044</v>
      </c>
      <c r="G81" s="48"/>
      <c r="H81" s="48"/>
      <c r="I81" s="48"/>
      <c r="J81" s="48" t="s">
        <v>324</v>
      </c>
      <c r="K81" s="48"/>
      <c r="L81" s="48"/>
      <c r="M81" s="48"/>
    </row>
    <row r="82" spans="1:19" ht="12.75" customHeight="1">
      <c r="A82" s="81" t="s">
        <v>448</v>
      </c>
      <c r="B82" s="106">
        <f>IF(ISERROR((Data!C16+Data!C17+Data!C18)/Data!C44),"",(Data!C16+Data!C17+Data!C18)/Data!C44)</f>
        <v>1.1741015512091721</v>
      </c>
      <c r="C82" s="106">
        <f>IF(ISERROR((Data!D16+Data!D17+Data!D18)/Data!D44),"",(Data!D16+Data!D17+Data!D18)/Data!D44)</f>
        <v>1.1416870305004978</v>
      </c>
      <c r="D82" s="106">
        <f>IF(ISERROR((Data!E16+Data!E17+Data!E18)/Data!E44),"",(Data!E16+Data!E17+Data!E18)/Data!E44)</f>
        <v>0.70578171201160445</v>
      </c>
      <c r="E82" s="106">
        <f>IF(ISERROR((Data!F16+Data!F17+Data!F18)/Data!F44),"",(Data!F16+Data!F17+Data!F18)/Data!F44)</f>
        <v>0.81442722216737418</v>
      </c>
      <c r="F82" s="106">
        <f>IF(ISERROR((Data!G16+Data!G17+Data!G18)/Data!G44),"",(Data!G16+Data!G17+Data!G18)/Data!G44)</f>
        <v>0.63785411249486779</v>
      </c>
      <c r="G82" s="48"/>
      <c r="H82" s="48"/>
      <c r="I82" s="48"/>
      <c r="J82" s="48" t="s">
        <v>325</v>
      </c>
      <c r="K82" s="48"/>
      <c r="L82" s="48"/>
      <c r="M82" s="48"/>
    </row>
    <row r="83" spans="1:19" ht="12.75" customHeight="1">
      <c r="A83" s="81" t="s">
        <v>449</v>
      </c>
      <c r="B83" s="82">
        <f>IF(ISERROR(Data!C113/((Data!B44+Data!C44)/2)),"",Data!C113/((Data!B44+Data!C44)/2))</f>
        <v>0.83654569508936671</v>
      </c>
      <c r="C83" s="82">
        <f>IF(ISERROR(Data!D113/((Data!C44+Data!D44)/2)),"",Data!D113/((Data!C44+Data!D44)/2))</f>
        <v>0.81682844875863314</v>
      </c>
      <c r="D83" s="82">
        <f>IF(ISERROR(Data!E113/((Data!D44+Data!E44)/2)),"",Data!E113/((Data!D44+Data!E44)/2))</f>
        <v>0.76664338152917433</v>
      </c>
      <c r="E83" s="82">
        <f>IF(ISERROR(Data!F113/((Data!E44+Data!F44)/2)),"",Data!F113/((Data!E44+Data!F44)/2))</f>
        <v>0.14443916349809904</v>
      </c>
      <c r="F83" s="82">
        <f>IF(ISERROR(Data!G113/((Data!F44+Data!G44)/2)),"",Data!G113/((Data!F44+Data!G44)/2))</f>
        <v>1.1204387197035355</v>
      </c>
      <c r="G83" s="48"/>
      <c r="H83" s="48"/>
      <c r="I83" s="48"/>
      <c r="J83" s="48" t="s">
        <v>326</v>
      </c>
      <c r="K83" s="48"/>
      <c r="L83" s="48"/>
      <c r="M83" s="48"/>
      <c r="N83" s="48"/>
      <c r="O83" s="48"/>
      <c r="P83" s="48"/>
      <c r="Q83" s="48"/>
      <c r="R83" s="48"/>
      <c r="S83" s="48"/>
    </row>
    <row r="84" spans="1:19" ht="12.75" customHeight="1">
      <c r="A84" s="52"/>
      <c r="B84" s="86"/>
      <c r="C84" s="86"/>
      <c r="D84" s="86"/>
      <c r="E84" s="86"/>
      <c r="F84" s="87"/>
    </row>
    <row r="85" spans="1:19" ht="12.75" customHeight="1">
      <c r="A85" s="79" t="s">
        <v>443</v>
      </c>
      <c r="B85" s="79"/>
      <c r="C85" s="79"/>
      <c r="D85" s="79"/>
      <c r="E85" s="79"/>
      <c r="F85" s="70"/>
    </row>
    <row r="86" spans="1:19" ht="12.75" customHeight="1">
      <c r="A86" s="81" t="s">
        <v>171</v>
      </c>
      <c r="B86" s="83">
        <f>IF(ISERROR(Data!C65/((Data!B16+Data!C16)/2)),"",Data!C65/((Data!B16+Data!C16)/2))</f>
        <v>10.121015527010078</v>
      </c>
      <c r="C86" s="83">
        <f>IF(ISERROR(Data!D65/((Data!C16+Data!D16)/2)),"",Data!D65/((Data!C16+Data!D16)/2))</f>
        <v>11.383147173364147</v>
      </c>
      <c r="D86" s="83">
        <f>IF(ISERROR(Data!E65/((Data!D16+Data!E16)/2)),"",Data!E65/((Data!D16+Data!E16)/2))</f>
        <v>7.8988390935897774</v>
      </c>
      <c r="E86" s="83">
        <f>IF(ISERROR(Data!F65/((Data!E16+Data!F16)/2)),"",Data!F65/((Data!E16+Data!F16)/2))</f>
        <v>7.6785322471464239</v>
      </c>
      <c r="F86" s="83">
        <f>IF(ISERROR(Data!G65/((Data!F16+Data!G16)/2)),"",Data!G65/((Data!F16+Data!G16)/2))</f>
        <v>11.834306005866914</v>
      </c>
      <c r="G86" s="48"/>
      <c r="H86" s="48"/>
      <c r="I86" s="48"/>
      <c r="J86" s="48" t="s">
        <v>334</v>
      </c>
    </row>
    <row r="87" spans="1:19" ht="12.75" customHeight="1">
      <c r="A87" s="81" t="s">
        <v>120</v>
      </c>
      <c r="B87" s="83">
        <f>IF(ISERROR(365/B86),"",365/B86)</f>
        <v>36.063574749581207</v>
      </c>
      <c r="C87" s="83">
        <f>IF(ISERROR(365/C86),"",365/C86)</f>
        <v>32.064946050603403</v>
      </c>
      <c r="D87" s="83">
        <f>IF(ISERROR(365/D86),"",365/D86)</f>
        <v>46.209322113703017</v>
      </c>
      <c r="E87" s="83">
        <f>IF(ISERROR(365/E86),"",365/E86)</f>
        <v>47.535126278286462</v>
      </c>
      <c r="F87" s="83">
        <f>IF(ISERROR(365/F86),"",365/F86)</f>
        <v>30.842535237727461</v>
      </c>
      <c r="G87" s="48"/>
      <c r="H87" s="108"/>
      <c r="I87" s="48"/>
      <c r="J87" s="48" t="s">
        <v>336</v>
      </c>
    </row>
    <row r="88" spans="1:19" ht="12.75" customHeight="1">
      <c r="A88" s="81" t="s">
        <v>117</v>
      </c>
      <c r="B88" s="83">
        <f>IF(ISERROR(Data!C65/((Data!B18+Data!C18)/2)),"",Data!C65/((Data!B18+Data!C18)/2))</f>
        <v>33.95356935577481</v>
      </c>
      <c r="C88" s="83">
        <f>IF(ISERROR(Data!D65/((Data!C18+Data!D18)/2)),"",Data!D65/((Data!C18+Data!D18)/2))</f>
        <v>30.489454378725355</v>
      </c>
      <c r="D88" s="83">
        <f>IF(ISERROR(Data!E65/((Data!D18+Data!E18)/2)),"",Data!E65/((Data!D18+Data!E18)/2))</f>
        <v>28.390718991692925</v>
      </c>
      <c r="E88" s="83">
        <f>IF(ISERROR(Data!F65/((Data!E18+Data!F18)/2)),"",Data!F65/((Data!E18+Data!F18)/2))</f>
        <v>27.587722240858771</v>
      </c>
      <c r="F88" s="83">
        <f>IF(ISERROR(Data!G65/((Data!F18+Data!G18)/2)),"",Data!G65/((Data!F18+Data!G18)/2))</f>
        <v>28.389185185185188</v>
      </c>
      <c r="G88" s="48"/>
      <c r="H88" s="48"/>
      <c r="I88" s="48"/>
      <c r="J88" s="48" t="s">
        <v>327</v>
      </c>
      <c r="K88" s="48"/>
      <c r="L88" s="48"/>
      <c r="M88" s="48"/>
      <c r="N88" s="48"/>
      <c r="O88" s="48"/>
      <c r="P88" s="48"/>
      <c r="Q88" s="48"/>
      <c r="R88" s="48"/>
      <c r="S88" s="48"/>
    </row>
    <row r="89" spans="1:19" ht="12.75" customHeight="1">
      <c r="A89" s="81" t="s">
        <v>114</v>
      </c>
      <c r="B89" s="107">
        <f>IF(ISERROR(365/B88),"",365/B88)</f>
        <v>10.749974359850945</v>
      </c>
      <c r="C89" s="107">
        <f>IF(ISERROR(365/C88),"",365/C88)</f>
        <v>11.971352306477687</v>
      </c>
      <c r="D89" s="107">
        <f>IF(ISERROR(365/D88),"",365/D88)</f>
        <v>12.856314068932116</v>
      </c>
      <c r="E89" s="107">
        <f>IF(ISERROR(365/E88),"",365/E88)</f>
        <v>13.230523231070418</v>
      </c>
      <c r="F89" s="107">
        <f>IF(ISERROR(365/F88),"",365/F88)</f>
        <v>12.85700866788083</v>
      </c>
      <c r="G89" s="48"/>
      <c r="H89" s="48"/>
      <c r="I89" s="48"/>
      <c r="J89" s="48" t="s">
        <v>329</v>
      </c>
      <c r="K89" s="48"/>
      <c r="L89" s="48"/>
      <c r="M89" s="48"/>
      <c r="N89" s="48"/>
      <c r="O89" s="48"/>
      <c r="P89" s="48"/>
      <c r="Q89" s="48"/>
      <c r="R89" s="48"/>
      <c r="S89" s="48"/>
    </row>
    <row r="90" spans="1:19" ht="12.75" customHeight="1">
      <c r="A90" s="81" t="s">
        <v>465</v>
      </c>
      <c r="B90" s="83">
        <f>IF(ISERROR(-Data!C66/((Data!B19+Data!C19)/2)),"",-Data!C66/((Data!B19+Data!C19)/2))</f>
        <v>6.5592737393148237</v>
      </c>
      <c r="C90" s="83">
        <f>IF(ISERROR(-Data!D66/((Data!C19+Data!D19)/2)),"",-Data!D66/((Data!C19+Data!D19)/2))</f>
        <v>5.2673401893716303</v>
      </c>
      <c r="D90" s="83">
        <f>IF(ISERROR(-Data!E66/((Data!D19+Data!E19)/2)),"",-Data!E66/((Data!D19+Data!E19)/2))</f>
        <v>5.425511114889277</v>
      </c>
      <c r="E90" s="83">
        <f>IF(ISERROR(-Data!F66/((Data!E19+Data!F19)/2)),"",-Data!F66/((Data!E19+Data!F19)/2))</f>
        <v>6.2293265519277048</v>
      </c>
      <c r="F90" s="83">
        <f>IF(ISERROR(-Data!G66/((Data!F19+Data!G19)/2)),"",-Data!G66/((Data!F19+Data!G19)/2))</f>
        <v>6.4968923372126968</v>
      </c>
      <c r="G90" s="48"/>
      <c r="H90" s="48"/>
      <c r="I90" s="48"/>
      <c r="J90" s="48" t="s">
        <v>335</v>
      </c>
      <c r="K90" s="48"/>
      <c r="L90" s="48"/>
      <c r="M90" s="48"/>
      <c r="N90" s="48"/>
      <c r="P90" s="48"/>
      <c r="R90" s="48"/>
    </row>
    <row r="91" spans="1:19" ht="12.75" customHeight="1">
      <c r="A91" s="81" t="s">
        <v>115</v>
      </c>
      <c r="B91" s="107">
        <f>IF(ISERROR(365/B90),"",365/B90)</f>
        <v>55.646404542056452</v>
      </c>
      <c r="C91" s="107">
        <f>IF(ISERROR(365/C90),"",365/C90)</f>
        <v>69.294935750778393</v>
      </c>
      <c r="D91" s="107">
        <f>IF(ISERROR(365/D90),"",365/D90)</f>
        <v>67.274767716967233</v>
      </c>
      <c r="E91" s="107">
        <f>IF(ISERROR(365/E90),"",365/E90)</f>
        <v>58.593813786668228</v>
      </c>
      <c r="F91" s="107">
        <f>IF(ISERROR(365/F90),"",365/F90)</f>
        <v>56.18070626003211</v>
      </c>
      <c r="G91" s="48"/>
      <c r="H91" s="48"/>
      <c r="I91" s="48"/>
      <c r="J91" s="48" t="s">
        <v>330</v>
      </c>
      <c r="K91" s="48"/>
      <c r="L91" s="48"/>
      <c r="M91" s="48"/>
      <c r="N91" s="48"/>
      <c r="O91" s="48"/>
      <c r="P91" s="48"/>
      <c r="Q91" s="48"/>
      <c r="R91" s="48"/>
      <c r="S91" s="48"/>
    </row>
    <row r="92" spans="1:19" ht="12.75" customHeight="1">
      <c r="A92" s="81" t="s">
        <v>112</v>
      </c>
      <c r="B92" s="83">
        <f>IF(ISERROR((-Data!C66+Data!C19-Data!B19)/((Data!C36+Data!B36)/2)),"",(-Data!C66+Data!C19-Data!B19)/((Data!C36+Data!B36)/2))</f>
        <v>13.060539752005836</v>
      </c>
      <c r="C92" s="83">
        <f>IF(ISERROR((-Data!D66+Data!D19-Data!C19)/((Data!D36+Data!C36)/2)),"",(-Data!D66+Data!D19-Data!C19)/((Data!D36+Data!C36)/2))</f>
        <v>12.981558469246348</v>
      </c>
      <c r="D92" s="83">
        <f>IF(ISERROR((-Data!E66+Data!E19-Data!D19)/((Data!E36+Data!D36)/2)),"",(-Data!E66+Data!E19-Data!D19)/((Data!E36+Data!D36)/2))</f>
        <v>14.052596089008766</v>
      </c>
      <c r="E92" s="83">
        <f>IF(ISERROR((-Data!F66+Data!F19-Data!E19)/((Data!F36+Data!E36)/2)),"",(-Data!F66+Data!F19-Data!E19)/((Data!F36+Data!E36)/2))</f>
        <v>13.338209479227618</v>
      </c>
      <c r="F92" s="83">
        <f>IF(ISERROR((-Data!G66+Data!G19-Data!F19)/((Data!G36+Data!F36)/2)),"",(-Data!G66+Data!G19-Data!F19)/((Data!G36+Data!F36)/2))</f>
        <v>13.142294112817144</v>
      </c>
      <c r="J92" s="17" t="s">
        <v>328</v>
      </c>
    </row>
    <row r="93" spans="1:19" ht="12.75" customHeight="1">
      <c r="A93" s="81" t="s">
        <v>116</v>
      </c>
      <c r="B93" s="107">
        <f>IF(ISERROR(365/B92),"",365/B92)</f>
        <v>27.946777616441416</v>
      </c>
      <c r="C93" s="107">
        <f>IF(ISERROR(365/C92),"",365/C92)</f>
        <v>28.116808999835772</v>
      </c>
      <c r="D93" s="107">
        <f>IF(ISERROR(365/D92),"",365/D92)</f>
        <v>25.973848368522074</v>
      </c>
      <c r="E93" s="107">
        <f>IF(ISERROR(365/E92),"",365/E92)</f>
        <v>27.364992322877825</v>
      </c>
      <c r="F93" s="107">
        <f>IF(ISERROR(365/F92),"",365/F92)</f>
        <v>27.772928901661878</v>
      </c>
      <c r="J93" s="48" t="s">
        <v>331</v>
      </c>
    </row>
    <row r="94" spans="1:19" ht="12.75" customHeight="1">
      <c r="A94" s="81" t="s">
        <v>113</v>
      </c>
      <c r="B94" s="107">
        <f>IF(ISERROR(B89+B91-B93),"",B89+B91-B93)</f>
        <v>38.449601285465981</v>
      </c>
      <c r="C94" s="107">
        <f>IF(ISERROR(C89+C91-C93),"",C89+C91-C93)</f>
        <v>53.149479057420308</v>
      </c>
      <c r="D94" s="107">
        <f>IF(ISERROR(D89+D91-D93),"",D89+D91-D93)</f>
        <v>54.157233417377284</v>
      </c>
      <c r="E94" s="107">
        <f>IF(ISERROR(E89+E91-E93),"",E89+E91-E93)</f>
        <v>44.459344694860818</v>
      </c>
      <c r="F94" s="107">
        <f>IF(ISERROR(F89+F91-F93),"",F89+F91-F93)</f>
        <v>41.264786026251066</v>
      </c>
      <c r="G94" s="48"/>
      <c r="H94" s="48"/>
      <c r="I94" s="48"/>
      <c r="J94" s="48" t="s">
        <v>332</v>
      </c>
      <c r="K94" s="48"/>
      <c r="L94" s="48"/>
      <c r="M94" s="48"/>
    </row>
    <row r="95" spans="1:19" ht="12.75" customHeight="1">
      <c r="A95" s="81" t="s">
        <v>32</v>
      </c>
      <c r="B95" s="83">
        <f>IF(ISERROR(Data!C65/((Data!B27+Data!B28+Data!C27+Data!C28)/2)),"",Data!C65/((Data!B27+Data!B28+Data!C27+Data!C28)/2))</f>
        <v>4.9042858639840716</v>
      </c>
      <c r="C95" s="83">
        <f>IF(ISERROR(Data!D65/((Data!C27+Data!C28+Data!D27+Data!D28)/2)),"",Data!D65/((Data!C27+Data!C28+Data!D27+Data!D28)/2))</f>
        <v>5.3050519555635329</v>
      </c>
      <c r="D95" s="83">
        <f>IF(ISERROR(Data!E65/((Data!D27+Data!D28+Data!E27+Data!E28)/2)),"",Data!E65/((Data!D27+Data!D28+Data!E27+Data!E28)/2))</f>
        <v>5.0745127487456054</v>
      </c>
      <c r="E95" s="83">
        <f>IF(ISERROR(Data!F65/((Data!E27+Data!E28+Data!F27+Data!F28)/2)),"",Data!F65/((Data!E27+Data!E28+Data!F27+Data!F28)/2))</f>
        <v>4.8955428231267204</v>
      </c>
      <c r="F95" s="83">
        <f>IF(ISERROR(Data!G65/((Data!F27+Data!F28+Data!G27+Data!G28)/2)),"",Data!G65/((Data!F27+Data!F28+Data!G27+Data!G28)/2))</f>
        <v>5.0379766802939292</v>
      </c>
      <c r="G95" s="48"/>
      <c r="H95" s="48"/>
      <c r="I95" s="48"/>
      <c r="J95" s="48" t="s">
        <v>333</v>
      </c>
      <c r="K95" s="48"/>
      <c r="L95" s="48"/>
      <c r="M95" s="48"/>
      <c r="N95" s="48"/>
      <c r="O95" s="48"/>
      <c r="P95" s="48"/>
      <c r="Q95" s="48"/>
      <c r="R95" s="48"/>
      <c r="S95" s="48"/>
    </row>
    <row r="96" spans="1:19" ht="12.75" customHeight="1">
      <c r="A96" s="81" t="s">
        <v>812</v>
      </c>
      <c r="B96" s="83">
        <f>(Data!C115+Data!C114)/-Data!C145</f>
        <v>0.75666301569916039</v>
      </c>
      <c r="C96" s="83">
        <f>(Data!D115+Data!D114)/-Data!D145</f>
        <v>1.4770005207429266</v>
      </c>
      <c r="D96" s="83">
        <f>(Data!E115+Data!E114)/-Data!E145</f>
        <v>1.7768174100941505</v>
      </c>
      <c r="E96" s="83">
        <f>(Data!F115+Data!F114)/-Data!F145</f>
        <v>1.5694200351493852</v>
      </c>
      <c r="F96" s="83">
        <f>(Data!G115+Data!G114)/-Data!G145</f>
        <v>1.4751074903824395</v>
      </c>
      <c r="J96" s="533" t="s">
        <v>817</v>
      </c>
      <c r="K96" s="48"/>
      <c r="L96" s="48"/>
      <c r="M96" s="48"/>
    </row>
    <row r="97" spans="1:19" ht="12.75" customHeight="1">
      <c r="A97" s="81" t="s">
        <v>813</v>
      </c>
      <c r="B97" s="83">
        <f>((Data!C27+Data!B27)/2)/Data!C145</f>
        <v>11.000182548375319</v>
      </c>
      <c r="C97" s="83">
        <f>((Data!D27+Data!C27)/2)/Data!D145</f>
        <v>11.340218712029161</v>
      </c>
      <c r="D97" s="83">
        <f>((Data!E27+Data!D27)/2)/Data!E145</f>
        <v>11.332921747183208</v>
      </c>
      <c r="E97" s="83">
        <f>((Data!F27+Data!E27)/2)/Data!F145</f>
        <v>11.06070028389888</v>
      </c>
      <c r="F97" s="83">
        <f>((Data!G27+Data!F27)/2)/Data!G145</f>
        <v>10.309402579769181</v>
      </c>
      <c r="J97" s="533" t="s">
        <v>816</v>
      </c>
      <c r="K97" s="48"/>
      <c r="L97" s="48"/>
      <c r="M97" s="48"/>
    </row>
    <row r="98" spans="1:19" ht="12.75" customHeight="1">
      <c r="A98" s="81" t="s">
        <v>814</v>
      </c>
      <c r="B98" s="83">
        <f>(Data!C27+Data!C28)/Data!C145</f>
        <v>4.2990142387732764</v>
      </c>
      <c r="C98" s="83">
        <f>(Data!D27+Data!D28)/Data!D145</f>
        <v>4.6153445582364183</v>
      </c>
      <c r="D98" s="83">
        <f>(Data!E27+Data!E28)/Data!E145</f>
        <v>4.9398055255440658</v>
      </c>
      <c r="E98" s="83">
        <f>(Data!F27+Data!F28)/Data!F145</f>
        <v>4.7573340543463569</v>
      </c>
      <c r="F98" s="83">
        <f>(Data!G27+Data!G28)/Data!G145</f>
        <v>4.6258203213396687</v>
      </c>
      <c r="G98" s="48"/>
      <c r="H98" s="108"/>
      <c r="I98" s="48"/>
      <c r="J98" s="533" t="s">
        <v>815</v>
      </c>
      <c r="K98" s="48"/>
      <c r="L98" s="48"/>
      <c r="M98" s="48"/>
    </row>
    <row r="99" spans="1:19" ht="12.75" customHeight="1">
      <c r="A99" s="52"/>
      <c r="B99" s="294"/>
      <c r="C99" s="294"/>
      <c r="D99" s="294"/>
      <c r="E99" s="294"/>
      <c r="F99" s="656"/>
      <c r="G99" s="48"/>
      <c r="H99" s="108"/>
      <c r="I99" s="48"/>
      <c r="J99" s="48"/>
      <c r="K99" s="48"/>
      <c r="L99" s="48"/>
      <c r="M99" s="48"/>
    </row>
    <row r="100" spans="1:19" ht="12.75" customHeight="1">
      <c r="A100" s="52"/>
      <c r="B100" s="86"/>
      <c r="C100" s="86"/>
      <c r="D100" s="86"/>
      <c r="E100" s="86"/>
      <c r="F100" s="87"/>
      <c r="N100" s="48"/>
      <c r="O100" s="48"/>
      <c r="P100" s="48"/>
      <c r="Q100" s="48"/>
      <c r="R100" s="48"/>
      <c r="S100" s="48"/>
    </row>
    <row r="101" spans="1:19" ht="12.75" customHeight="1">
      <c r="A101" s="79" t="s">
        <v>450</v>
      </c>
      <c r="B101" s="79"/>
      <c r="C101" s="79"/>
      <c r="D101" s="79"/>
      <c r="E101" s="79"/>
      <c r="F101" s="95"/>
      <c r="N101" s="48"/>
      <c r="O101" s="48"/>
      <c r="P101" s="48"/>
      <c r="Q101" s="48"/>
      <c r="R101" s="48"/>
      <c r="S101" s="48"/>
    </row>
    <row r="102" spans="1:19" ht="12.75" customHeight="1">
      <c r="A102" s="81" t="s">
        <v>451</v>
      </c>
      <c r="B102" s="82">
        <f>IF(ISERROR(Data!C50/Data!C33),"",Data!C50/Data!C33)</f>
        <v>0.40393185152980826</v>
      </c>
      <c r="C102" s="82">
        <f>IF(ISERROR(Data!D50/Data!D33),"",Data!D50/Data!D33)</f>
        <v>0.37773749270001944</v>
      </c>
      <c r="D102" s="82">
        <f>IF(ISERROR(Data!E50/Data!E33),"",Data!E50/Data!E33)</f>
        <v>0.6107999687410457</v>
      </c>
      <c r="E102" s="82">
        <f>IF(ISERROR(Data!F50/Data!F33),"",Data!F50/Data!F33)</f>
        <v>0.50955556175543348</v>
      </c>
      <c r="F102" s="82">
        <f>IF(ISERROR(Data!G50/Data!G33),"",Data!G50/Data!G33)</f>
        <v>0.53239671320574933</v>
      </c>
      <c r="G102" s="48"/>
      <c r="H102" s="48"/>
      <c r="I102" s="48"/>
      <c r="J102" s="48" t="s">
        <v>337</v>
      </c>
      <c r="K102" s="48"/>
      <c r="L102" s="48"/>
      <c r="M102" s="48"/>
      <c r="N102" s="48"/>
      <c r="P102" s="48"/>
      <c r="R102" s="48"/>
    </row>
    <row r="103" spans="1:19" ht="12.75" customHeight="1">
      <c r="A103" s="498" t="s">
        <v>16</v>
      </c>
      <c r="B103" s="82">
        <f>IF(ISERROR(Data!C50/Data!C59),"",Data!C50/Data!C59)</f>
        <v>0.67766052013767031</v>
      </c>
      <c r="C103" s="82">
        <f>IF(ISERROR(Data!D50/Data!D59),"",Data!D50/Data!D59)</f>
        <v>0.60703881122299352</v>
      </c>
      <c r="D103" s="82">
        <f>IF(ISERROR(Data!E50/Data!E59),"",Data!E50/Data!E59)</f>
        <v>1.5693728666086604</v>
      </c>
      <c r="E103" s="82">
        <f>IF(ISERROR(Data!F50/Data!F59),"",Data!F50/Data!F59)</f>
        <v>1.0389669492007507</v>
      </c>
      <c r="F103" s="82">
        <f>IF(ISERROR(Data!G50/Data!G59),"",Data!G50/Data!G59)</f>
        <v>1.1385786453142719</v>
      </c>
      <c r="G103" s="48"/>
      <c r="H103" s="48"/>
      <c r="I103" s="48"/>
      <c r="J103" s="48" t="s">
        <v>338</v>
      </c>
      <c r="K103" s="48"/>
      <c r="L103" s="48"/>
      <c r="M103" s="48"/>
      <c r="N103" s="48"/>
      <c r="O103" s="48"/>
      <c r="P103" s="48"/>
      <c r="Q103" s="48"/>
      <c r="R103" s="48"/>
      <c r="S103" s="48"/>
    </row>
    <row r="104" spans="1:19" ht="12.75" customHeight="1">
      <c r="A104" s="89" t="s">
        <v>229</v>
      </c>
      <c r="B104" s="82">
        <f>IF(ISERROR(Data!C45/(Data!C45+Data!C59)),"",Data!C45/(Data!C45+Data!C59))</f>
        <v>0.11130691946199969</v>
      </c>
      <c r="C104" s="82">
        <f>IF(ISERROR(Data!D45/(Data!D45+Data!D59)),"",Data!D45/(Data!D45+Data!D59))</f>
        <v>9.7032185166222348E-2</v>
      </c>
      <c r="D104" s="82">
        <f>IF(ISERROR(Data!E45/(Data!E45+Data!E59)),"",Data!E45/(Data!E45+Data!E59))</f>
        <v>0.22474358752616011</v>
      </c>
      <c r="E104" s="82">
        <f>IF(ISERROR(Data!F45/(Data!F45+Data!F59)),"",Data!F45/(Data!F45+Data!F59))</f>
        <v>0.27974597104616222</v>
      </c>
      <c r="F104" s="82">
        <f>IF(ISERROR(Data!G45/(Data!G45+Data!G59)),"",Data!G45/(Data!G45+Data!G59))</f>
        <v>0.2874266893587844</v>
      </c>
      <c r="G104" s="48"/>
      <c r="H104" s="48"/>
      <c r="I104" s="48"/>
      <c r="J104" s="48" t="s">
        <v>339</v>
      </c>
      <c r="K104" s="48"/>
      <c r="L104" s="48"/>
      <c r="M104" s="48"/>
    </row>
    <row r="105" spans="1:19" ht="12.75" customHeight="1">
      <c r="A105" s="498" t="s">
        <v>690</v>
      </c>
      <c r="B105" s="82">
        <f>IF(ISERROR(Data!C45/Data!C59),"",Data!C45/Data!C59)</f>
        <v>0.12524787454698791</v>
      </c>
      <c r="C105" s="82">
        <f>IF(ISERROR(Data!D45/Data!D59),"",Data!D45/Data!D59)</f>
        <v>0.10745918467103334</v>
      </c>
      <c r="D105" s="82">
        <f>IF(ISERROR(Data!E45/Data!E59),"",Data!E45/Data!E59)</f>
        <v>0.28989581241773199</v>
      </c>
      <c r="E105" s="82">
        <f>IF(ISERROR(Data!F45/Data!F59),"",Data!F45/Data!F59)</f>
        <v>0.38839903672943094</v>
      </c>
      <c r="F105" s="82">
        <f>IF(ISERROR(Data!G45/Data!G59),"",Data!G45/Data!G59)</f>
        <v>0.40336437678270726</v>
      </c>
      <c r="G105" s="48"/>
      <c r="H105" s="48"/>
      <c r="I105" s="48"/>
      <c r="J105" s="48" t="s">
        <v>340</v>
      </c>
      <c r="K105" s="48"/>
      <c r="L105" s="48"/>
      <c r="M105" s="48"/>
    </row>
    <row r="106" spans="1:19" ht="12.75" customHeight="1">
      <c r="A106" s="81" t="s">
        <v>452</v>
      </c>
      <c r="B106" s="82">
        <f>IF(ISERROR(Data!C113/((Data!C50+Data!B50)/2)),"",Data!C113/((Data!C50+Data!B50)/2))</f>
        <v>0.56807652333221759</v>
      </c>
      <c r="C106" s="82">
        <f>IF(ISERROR(Data!D113/((Data!D50+Data!C50)/2)),"",Data!D113/((Data!D50+Data!C50)/2))</f>
        <v>0.57596498733094181</v>
      </c>
      <c r="D106" s="82">
        <f>IF(ISERROR(Data!E113/((Data!E50+Data!D50)/2)),"",Data!E113/((Data!E50+Data!D50)/2))</f>
        <v>0.57368010967442862</v>
      </c>
      <c r="E106" s="82">
        <f>IF(ISERROR(Data!F113/((Data!F50+Data!E50)/2)),"",Data!F113/((Data!F50+Data!E50)/2))</f>
        <v>9.7142309167625757E-2</v>
      </c>
      <c r="F106" s="82">
        <f>IF(ISERROR(Data!G113/((Data!G50+Data!F50)/2)),"",Data!G113/((Data!G50+Data!F50)/2))</f>
        <v>0.61940440295733346</v>
      </c>
      <c r="J106" s="17" t="s">
        <v>341</v>
      </c>
    </row>
    <row r="107" spans="1:19" ht="12.75" customHeight="1">
      <c r="A107" s="81" t="s">
        <v>232</v>
      </c>
      <c r="B107" s="83">
        <f>IF(ISERROR((Data!C81-Data!C78)/(-Data!C78)),"",(Data!C81-Data!C78)/(-Data!C78))</f>
        <v>55.387387387387392</v>
      </c>
      <c r="C107" s="83">
        <f>IF(ISERROR((Data!D81-Data!D78)/(-Data!D78)),"",(Data!D81-Data!D78)/(-Data!D78))</f>
        <v>63.969418960244631</v>
      </c>
      <c r="D107" s="83">
        <f>IF(ISERROR((Data!E81-Data!E78)/(-Data!E78)),"",(Data!E81-Data!E78)/(-Data!E78))</f>
        <v>-7.181494661921727</v>
      </c>
      <c r="E107" s="83">
        <f>IF(ISERROR((Data!F81-Data!F78)/(-Data!F78)),"",(Data!F81-Data!F78)/(-Data!F78))</f>
        <v>50.293291731669271</v>
      </c>
      <c r="F107" s="83">
        <f>IF(ISERROR((Data!G81-Data!G78)/(-Data!G78)),"",(Data!G81-Data!G78)/(-Data!G78))</f>
        <v>56.361702127659591</v>
      </c>
      <c r="J107" s="17" t="s">
        <v>342</v>
      </c>
      <c r="N107" s="48"/>
      <c r="O107" s="48"/>
      <c r="P107" s="48"/>
      <c r="Q107" s="48"/>
      <c r="R107" s="48"/>
      <c r="S107" s="48"/>
    </row>
    <row r="108" spans="1:19" ht="12.75" customHeight="1">
      <c r="A108" s="81" t="s">
        <v>233</v>
      </c>
      <c r="B108" s="83">
        <f>IF(ISERROR((Data!C81-Data!C78-Data!C75-Data!C80)/-Data!C78),"",(Data!C81-Data!C78-Data!C75-Data!C80)/-Data!C78)</f>
        <v>54.480480480480487</v>
      </c>
      <c r="C108" s="83">
        <f>IF(ISERROR((Data!D81-Data!D78-Data!D75-Data!D80)/-Data!D78),"",(Data!D81-Data!D78-Data!D75-Data!D80)/-Data!D78)</f>
        <v>63.969418960244631</v>
      </c>
      <c r="D108" s="83">
        <f>IF(ISERROR((Data!E81-Data!E78-Data!E75-Data!E80)/-Data!E78),"",(Data!E81-Data!E78-Data!E75-Data!E80)/-Data!E78)</f>
        <v>91.896797153024878</v>
      </c>
      <c r="E108" s="83">
        <f>IF(ISERROR((Data!F81-Data!F78-Data!F75-Data!F80)/-Data!F78),"",(Data!F81-Data!F78-Data!F75-Data!F80)/-Data!F78)</f>
        <v>49.978159126365064</v>
      </c>
      <c r="F108" s="83">
        <f>IF(ISERROR((Data!G81-Data!G78-Data!G75-Data!G80)/-Data!G78),"",(Data!G81-Data!G78-Data!G75-Data!G80)/-Data!G78)</f>
        <v>51.687943262411366</v>
      </c>
      <c r="G108" s="48"/>
      <c r="H108" s="48"/>
      <c r="I108" s="48"/>
      <c r="J108" s="17" t="s">
        <v>343</v>
      </c>
      <c r="K108" s="48"/>
      <c r="L108" s="48"/>
      <c r="M108" s="48"/>
    </row>
    <row r="109" spans="1:19" ht="12.75" customHeight="1">
      <c r="B109" s="109"/>
      <c r="C109" s="109"/>
      <c r="D109" s="109"/>
      <c r="E109" s="109"/>
      <c r="F109" s="109"/>
      <c r="G109" s="48"/>
      <c r="H109" s="48"/>
      <c r="I109" s="48"/>
      <c r="J109" s="48"/>
      <c r="K109" s="48"/>
      <c r="L109" s="48"/>
      <c r="M109" s="48"/>
    </row>
    <row r="110" spans="1:19" ht="12.75" customHeight="1">
      <c r="A110" s="109" t="s">
        <v>445</v>
      </c>
      <c r="B110" s="109"/>
      <c r="C110" s="109"/>
      <c r="D110" s="109"/>
      <c r="E110" s="109"/>
      <c r="F110" s="109"/>
      <c r="G110" s="48"/>
      <c r="H110" s="48"/>
      <c r="I110" s="48"/>
      <c r="J110" s="48"/>
      <c r="K110" s="48"/>
      <c r="M110" s="48"/>
      <c r="N110" s="48"/>
      <c r="O110" s="48"/>
      <c r="P110" s="48"/>
      <c r="Q110" s="48"/>
      <c r="R110" s="48"/>
      <c r="S110" s="48"/>
    </row>
    <row r="111" spans="1:19" ht="12.75" customHeight="1">
      <c r="A111" s="81" t="s">
        <v>106</v>
      </c>
      <c r="B111" s="102"/>
      <c r="C111" s="102"/>
      <c r="D111" s="102"/>
      <c r="E111" s="102"/>
      <c r="F111" s="102"/>
      <c r="G111" s="48"/>
      <c r="H111" s="48"/>
      <c r="I111" s="48"/>
      <c r="J111" s="48"/>
      <c r="K111" s="48"/>
      <c r="L111" s="48"/>
      <c r="M111" s="48"/>
      <c r="N111" s="48"/>
      <c r="O111" s="48"/>
      <c r="P111" s="48"/>
      <c r="Q111" s="48"/>
      <c r="R111" s="48"/>
      <c r="S111" s="48"/>
    </row>
    <row r="112" spans="1:19" ht="12.75" customHeight="1">
      <c r="A112" s="81" t="s">
        <v>107</v>
      </c>
      <c r="B112" s="106">
        <f>IF(ISERROR(1.2*(Data!C24-Data!C44)/Data!C33+1.4*(Data!C54/Data!C33)+3.3*((Data!C81-Data!C78)/Data!C33)+0.6*((Data!C147*Data!C150)/Data!C50)+1*(Data!C65/Data!C33)),"",1.2*(Data!C24-Data!C44)/Data!C33+1.4*(Data!C54/Data!C33)+3.3*((Data!C81-Data!C78)/Data!C33)+0.6*((Data!C147*Data!C150)/Data!C50)+1*(Data!C65/Data!C33))</f>
        <v>8.9597625569406762</v>
      </c>
      <c r="C112" s="106">
        <f>IF(ISERROR(1.2*(Data!D24-Data!D44)/Data!D33+1.4*(Data!D54/Data!D33)+3.3*((Data!D81-Data!D78)/Data!D33)+0.6*((Data!D147*Data!D150)/Data!D50)+1*(Data!D65/Data!D33)),"",1.2*(Data!D24-Data!D44)/Data!D33+1.4*(Data!D54/Data!D33)+3.3*((Data!D81-Data!D78)/Data!D33)+0.6*((Data!D147*Data!D150)/Data!D50)+1*(Data!D65/Data!D33))</f>
        <v>10.870034791612699</v>
      </c>
      <c r="D112" s="106">
        <f>IF(ISERROR(1.2*(Data!E24-Data!E44)/Data!E33+1.4*(Data!E54/Data!E33)+3.3*((Data!E81-Data!E78)/Data!E33)+0.6*((Data!E147*Data!E150)/Data!E50)+1*(Data!E65/Data!E33)),"",1.2*(Data!E24-Data!E44)/Data!E33+1.4*(Data!E54/Data!E33)+3.3*((Data!E81-Data!E78)/Data!E33)+0.6*((Data!E147*Data!E150)/Data!E50)+1*(Data!E65/Data!E33))</f>
        <v>6.6307395558702673</v>
      </c>
      <c r="E112" s="106">
        <f>IF(ISERROR(1.2*(Data!F24-Data!F44)/Data!F33+1.4*(Data!F54/Data!F33)+3.3*((Data!F81-Data!F78)/Data!F33)+0.6*((Data!F147*Data!F150)/Data!F50)+1*(Data!F65/Data!F33)),"",1.2*(Data!F24-Data!F44)/Data!F33+1.4*(Data!F54/Data!F33)+3.3*((Data!F81-Data!F78)/Data!F33)+0.6*((Data!F147*Data!F150)/Data!F50)+1*(Data!F65/Data!F33))</f>
        <v>9.5162774345359189</v>
      </c>
      <c r="F112" s="106">
        <f>IF(ISERROR(1.2*(Data!G24-Data!G44)/Data!G33+1.4*(Data!G54/Data!G33)+3.3*((Data!G81-Data!G78)/Data!G33)+0.6*((Data!G147*Data!G150)/Data!G50)+1*(Data!G65/Data!G33)),"",1.2*(Data!G24-Data!G44)/Data!G33+1.4*(Data!G54/Data!G33)+3.3*((Data!G81-Data!G78)/Data!G33)+0.6*((Data!G147*Data!G150)/Data!G50)+1*(Data!G65/Data!G33))</f>
        <v>10.976138072884162</v>
      </c>
      <c r="J112" s="17" t="s">
        <v>344</v>
      </c>
      <c r="N112" s="48"/>
      <c r="P112" s="48"/>
      <c r="R112" s="48"/>
    </row>
    <row r="113" spans="1:19" ht="12.75" customHeight="1">
      <c r="A113" s="81" t="s">
        <v>109</v>
      </c>
      <c r="B113" s="110">
        <f>IF(ISERROR(NORMSDIST(1-B112)),"",NORMSDIST(1-B112))</f>
        <v>8.618486776418534E-16</v>
      </c>
      <c r="C113" s="110">
        <f>IF(ISERROR(NORMSDIST(1-C112)),"",NORMSDIST(1-C112))</f>
        <v>2.8072566698903168E-23</v>
      </c>
      <c r="D113" s="110">
        <f>IF(ISERROR(NORMSDIST(1-D112)),"",NORMSDIST(1-D112))</f>
        <v>8.9719258939499468E-9</v>
      </c>
      <c r="E113" s="110">
        <f>IF(ISERROR(NORMSDIST(1-E112)),"",NORMSDIST(1-E112))</f>
        <v>8.2381924054350737E-18</v>
      </c>
      <c r="F113" s="110">
        <f>IF(ISERROR(NORMSDIST(1-F112)),"",NORMSDIST(1-F112))</f>
        <v>9.6933011460291146E-24</v>
      </c>
      <c r="J113" s="17" t="s">
        <v>345</v>
      </c>
      <c r="N113" s="48"/>
      <c r="O113" s="48"/>
      <c r="P113" s="48"/>
      <c r="Q113" s="48"/>
      <c r="R113" s="48"/>
      <c r="S113" s="48"/>
    </row>
    <row r="114" spans="1:19" ht="12.75" customHeight="1">
      <c r="A114" s="81" t="s">
        <v>108</v>
      </c>
      <c r="B114" s="110"/>
      <c r="C114" s="110"/>
      <c r="D114" s="110"/>
      <c r="E114" s="110"/>
      <c r="F114" s="110"/>
      <c r="G114" s="48"/>
      <c r="H114" s="48"/>
      <c r="I114" s="48"/>
      <c r="J114" s="48"/>
      <c r="K114" s="48"/>
      <c r="L114" s="48"/>
      <c r="M114" s="48"/>
    </row>
    <row r="115" spans="1:19" ht="12.75" customHeight="1">
      <c r="A115" s="81" t="s">
        <v>105</v>
      </c>
      <c r="B115" s="106">
        <f>IF(ISERROR(-4.84+0.92*((Data!C18/Data!C65)/(Data!B18/Data!B65))+0.528*((Data!B67/Data!B65)/(Data!C67/Data!C65))+0.404*(((Data!C31+Data!C32+Data!C30)/Data!C33)/((Data!B31+Data!B32+Data!B30)/Data!B33))+0.892*(Data!C65/Data!B65)+0.115*((Data!B98/(Data!B27+Data!B28+Data!B98))/(Data!C98/(Data!C27+Data!C28+Data!C98)))-0.172*((-Data!C68/Data!C65)/(-Data!B68/Data!B65))-0.327*(((Data!C44+Data!C45)/Data!C60)/((Data!B44+Data!B45)/Data!B60))+4.67*((Data!C81+Data!C82-Data!C113)/Data!C33)),"",-4.84+0.92*((Data!C18/Data!C65)/(Data!B18/Data!B65))+0.528*((Data!B67/Data!B65)/(Data!C67/Data!C65))+0.404*(((Data!C31+Data!C32+Data!C30)/Data!C33)/((Data!B31+Data!B32+Data!B30)/Data!B33))+0.892*(Data!C65/Data!B65)+0.115*((Data!B98/(Data!B27+Data!B28+Data!B98))/(Data!C98/(Data!C27+Data!C28+Data!C98)))-0.172*((-Data!C68/Data!C65)/(-Data!B68/Data!B65))-0.327*(((Data!C44+Data!C45)/Data!C60)/((Data!B44+Data!B45)/Data!B60))+4.67*((Data!C81+Data!C82-Data!C113)/Data!C33))</f>
        <v>-2.4426779197934976</v>
      </c>
      <c r="C115" s="106">
        <f>IF(ISERROR(-4.84+0.92*((Data!D18/Data!D65)/(Data!C18/Data!C65))+0.528*((Data!C67/Data!C65)/(Data!D67/Data!D65))+0.404*(((Data!D31+Data!D32+Data!D30)/Data!D33)/((Data!C31+Data!C32+Data!C30)/Data!C33))+0.892*(Data!D65/Data!C65)+0.115*((Data!C98/(Data!C27+Data!C28+Data!C98))/(Data!D98/(Data!D27+Data!D28+Data!D98)))-0.172*((-Data!D68/Data!D65)/(-Data!C68/Data!C65))-0.327*(((Data!D44+Data!D45)/Data!D60)/((Data!C44+Data!C45)/Data!C60))+4.67*((Data!D81+Data!D82-Data!D113)/Data!D33)),"",-4.84+0.92*((Data!D18/Data!D65)/(Data!C18/Data!C65))+0.528*((Data!C67/Data!C65)/(Data!D67/Data!D65))+0.404*(((Data!D31+Data!D32+Data!D30)/Data!D33)/((Data!C31+Data!C32+Data!C30)/Data!C33))+0.892*(Data!D65/Data!C65)+0.115*((Data!C98/(Data!C27+Data!C28+Data!C98))/(Data!D98/(Data!D27+Data!D28+Data!D98)))-0.172*((-Data!D68/Data!D65)/(-Data!C68/Data!C65))-0.327*(((Data!D44+Data!D45)/Data!D60)/((Data!C44+Data!C45)/Data!C60))+4.67*((Data!D81+Data!D82-Data!D113)/Data!D33))</f>
        <v>-2.3904747768222161</v>
      </c>
      <c r="D115" s="106">
        <f>IF(ISERROR(-4.84+0.92*((Data!E18/Data!E65)/(Data!D18/Data!D65))+0.528*((Data!D67/Data!D65)/(Data!E67/Data!E65))+0.404*(((Data!E31+Data!E32+Data!E30)/Data!E33)/((Data!D31+Data!D32+Data!D30)/Data!D33))+0.892*(Data!E65/Data!D65)+0.115*((Data!D98/(Data!D27+Data!D28+Data!D98))/(Data!E98/(Data!E27+Data!E28+Data!E98)))-0.172*((-Data!E68/Data!E65)/(-Data!D68/Data!D65))-0.327*(((Data!E44+Data!E45)/Data!E60)/((Data!D44+Data!D45)/Data!D60))+4.67*((Data!E81+Data!E82-Data!E113)/Data!E33)),"",-4.84+0.92*((Data!E18/Data!E65)/(Data!D18/Data!D65))+0.528*((Data!D67/Data!D65)/(Data!E67/Data!E65))+0.404*(((Data!E31+Data!E32+Data!E30)/Data!E33)/((Data!D31+Data!D32+Data!D30)/Data!D33))+0.892*(Data!E65/Data!D65)+0.115*((Data!D98/(Data!D27+Data!D28+Data!D98))/(Data!E98/(Data!E27+Data!E28+Data!E98)))-0.172*((-Data!E68/Data!E65)/(-Data!D68/Data!D65))-0.327*(((Data!E44+Data!E45)/Data!E60)/((Data!D44+Data!D45)/Data!D60))+4.67*((Data!E81+Data!E82-Data!E113)/Data!E33))</f>
        <v>-3.6038737909785938</v>
      </c>
      <c r="E115" s="106">
        <f>IF(ISERROR(-4.84+0.92*((Data!F18/Data!F65)/(Data!E18/Data!E65))+0.528*((Data!E67/Data!E65)/(Data!F67/Data!F65))+0.404*(((Data!F31+Data!F32+Data!F30)/Data!F33)/((Data!E31+Data!E32+Data!E30)/Data!E33))+0.892*(Data!F65/Data!E65)+0.115*((Data!E98/(Data!E27+Data!E28+Data!E98))/(Data!F98/(Data!F27+Data!F28+Data!F98)))-0.172*((-Data!F68/Data!F65)/(-Data!E68/Data!E65))-0.327*(((Data!F44+Data!F45)/Data!F60)/((Data!E44+Data!E45)/Data!E60))+4.67*((Data!F81+Data!F82-Data!F113)/Data!F33)),"",-4.84+0.92*((Data!F18/Data!F65)/(Data!E18/Data!E65))+0.528*((Data!E67/Data!E65)/(Data!F67/Data!F65))+0.404*(((Data!F31+Data!F32+Data!F30)/Data!F33)/((Data!E31+Data!E32+Data!E30)/Data!E33))+0.892*(Data!F65/Data!E65)+0.115*((Data!E98/(Data!E27+Data!E28+Data!E98))/(Data!F98/(Data!F27+Data!F28+Data!F98)))-0.172*((-Data!F68/Data!F65)/(-Data!E68/Data!E65))-0.327*(((Data!F44+Data!F45)/Data!F60)/((Data!E44+Data!E45)/Data!E60))+4.67*((Data!F81+Data!F82-Data!F113)/Data!F33))</f>
        <v>-1.6566414524845916</v>
      </c>
      <c r="F115" s="106">
        <f>IF(ISERROR(-4.84+0.92*((Data!G18/Data!G65)/(Data!F18/Data!F65))+0.528*((Data!F67/Data!F65)/(Data!G67/Data!G65))+0.404*(((Data!G31+Data!G32+Data!G30)/Data!G33)/((Data!F31+Data!F32+Data!F30)/Data!F33))+0.892*(Data!G65/Data!F65)+0.115*((Data!F98/(Data!F27+Data!F28+Data!F98))/(Data!G98/(Data!G27+Data!G28+Data!G98)))-0.172*((-Data!G68/Data!G65)/(-Data!F68/Data!F65))-0.327*(((Data!G44+Data!G45)/Data!G60)/((Data!F44+Data!F45)/Data!F60))+4.67*((Data!G81+Data!G82-Data!G113)/Data!G33)),"",-4.84+0.92*((Data!G18/Data!G65)/(Data!F18/Data!F65))+0.528*((Data!F67/Data!F65)/(Data!G67/Data!G65))+0.404*(((Data!G31+Data!G32+Data!G30)/Data!G33)/((Data!F31+Data!F32+Data!F30)/Data!F33))+0.892*(Data!G65/Data!F65)+0.115*((Data!F98/(Data!F27+Data!F28+Data!F98))/(Data!G98/(Data!G27+Data!G28+Data!G98)))-0.172*((-Data!G68/Data!G65)/(-Data!F68/Data!F65))-0.327*(((Data!G44+Data!G45)/Data!G60)/((Data!F44+Data!F45)/Data!F60))+4.67*((Data!G81+Data!G82-Data!G113)/Data!G33))</f>
        <v>-2.4910018543017909</v>
      </c>
      <c r="G115" s="48"/>
      <c r="H115" s="48"/>
      <c r="I115" s="48"/>
      <c r="J115" s="48" t="s">
        <v>346</v>
      </c>
      <c r="K115" s="48"/>
      <c r="L115" s="48"/>
      <c r="M115" s="48"/>
    </row>
    <row r="116" spans="1:19" ht="12.75" customHeight="1">
      <c r="A116" s="81" t="s">
        <v>110</v>
      </c>
      <c r="B116" s="110">
        <f t="shared" ref="B116:E116" si="0">IF(ISERROR(NORMSDIST(B115)),"",NORMSDIST(B115))</f>
        <v>7.2893707785276918E-3</v>
      </c>
      <c r="C116" s="110">
        <f t="shared" si="0"/>
        <v>8.4133024521403799E-3</v>
      </c>
      <c r="D116" s="110">
        <f t="shared" si="0"/>
        <v>1.5675466752561361E-4</v>
      </c>
      <c r="E116" s="110">
        <f t="shared" si="0"/>
        <v>4.8795993195829203E-2</v>
      </c>
      <c r="F116" s="110">
        <f>IF(ISERROR(NORMSDIST(F115)),"",NORMSDIST(F115))</f>
        <v>6.3691727495430164E-3</v>
      </c>
      <c r="G116" s="48"/>
      <c r="H116" s="48"/>
      <c r="I116" s="48"/>
      <c r="J116" s="48" t="s">
        <v>347</v>
      </c>
      <c r="K116" s="48"/>
      <c r="L116" s="48"/>
      <c r="M116" s="48"/>
    </row>
    <row r="117" spans="1:19" ht="12.75" customHeight="1">
      <c r="B117" s="109"/>
      <c r="C117" s="109"/>
      <c r="D117" s="109"/>
      <c r="E117" s="109"/>
      <c r="F117" s="109"/>
      <c r="G117" s="48"/>
      <c r="H117" s="48"/>
      <c r="I117" s="48"/>
      <c r="J117" s="48"/>
      <c r="K117" s="48"/>
      <c r="L117" s="48"/>
      <c r="M117" s="48"/>
      <c r="N117" s="48"/>
      <c r="O117" s="48"/>
      <c r="P117" s="48"/>
      <c r="Q117" s="48"/>
      <c r="R117" s="48"/>
      <c r="S117" s="48"/>
    </row>
    <row r="118" spans="1:19" ht="12.75" customHeight="1">
      <c r="A118" s="109" t="s">
        <v>713</v>
      </c>
      <c r="B118" s="109"/>
      <c r="C118" s="109"/>
      <c r="D118" s="109"/>
      <c r="E118" s="109"/>
      <c r="F118" s="109"/>
    </row>
    <row r="119" spans="1:19" ht="12.75" customHeight="1">
      <c r="A119" s="81" t="s">
        <v>35</v>
      </c>
      <c r="B119" s="111">
        <f>IF(ISERROR((Data!C150+Data!C149)/Data!B150-1),"",(Data!C150+Data!C149)/Data!B150-1)</f>
        <v>0.42944874404456845</v>
      </c>
      <c r="C119" s="111">
        <f>IF(ISERROR((Data!D150+Data!D149)/Data!C150-1),"",(Data!D150+Data!D149)/Data!C150-1)</f>
        <v>0.40427179548056991</v>
      </c>
      <c r="D119" s="111">
        <f>IF(ISERROR((Data!E150+Data!E149)/Data!D150-1),"",(Data!E150+Data!E149)/Data!D150-1)</f>
        <v>0.53310011547937153</v>
      </c>
      <c r="E119" s="111">
        <f>IF(ISERROR((Data!F150+Data!F149)/Data!E150-1),"",(Data!F150+Data!F149)/Data!E150-1)</f>
        <v>5.9806691201980122E-3</v>
      </c>
      <c r="F119" s="111">
        <f>IF(ISERROR((Data!G150+Data!G149)/Data!F150-1),"",(Data!G150+Data!G149)/Data!F150-1)</f>
        <v>0.52306593583550143</v>
      </c>
      <c r="J119" s="17" t="s">
        <v>348</v>
      </c>
    </row>
    <row r="120" spans="1:19" ht="12.75" customHeight="1">
      <c r="A120" s="81" t="s">
        <v>234</v>
      </c>
      <c r="B120" s="83">
        <f>IF(ISERROR(Data!C150/Data!C148),"",Data!C150/Data!C148)</f>
        <v>21.663674446439259</v>
      </c>
      <c r="C120" s="83">
        <f>IF(ISERROR(Data!D150/Data!D148),"",Data!D150/Data!D148)</f>
        <v>27.16390423572744</v>
      </c>
      <c r="D120" s="83">
        <f>IF(ISERROR(Data!E150/Data!E148),"",Data!E150/Data!E148)</f>
        <v>3802.5</v>
      </c>
      <c r="E120" s="83">
        <f>IF(ISERROR(Data!F150/Data!F148),"",Data!F150/Data!F148)</f>
        <v>27.540145985401455</v>
      </c>
      <c r="F120" s="83">
        <f>IF(ISERROR(Data!G150/Data!G148),"",Data!G150/Data!G148)</f>
        <v>30.891304347826086</v>
      </c>
      <c r="G120" s="48"/>
      <c r="H120" s="48"/>
      <c r="I120" s="48"/>
      <c r="J120" s="48" t="s">
        <v>349</v>
      </c>
      <c r="K120" s="48"/>
      <c r="L120" s="48"/>
      <c r="M120" s="48"/>
      <c r="N120" s="48"/>
      <c r="O120" s="48"/>
      <c r="P120" s="48"/>
      <c r="Q120" s="48"/>
      <c r="R120" s="48"/>
      <c r="S120" s="48"/>
    </row>
    <row r="121" spans="1:19" ht="12.75" customHeight="1">
      <c r="A121" s="81" t="s">
        <v>235</v>
      </c>
      <c r="B121" s="91">
        <f>IF(ISERROR(Data!C150/(Data!C148-Data!C144/Data!C147)),"",Data!C150/(Data!C148-Data!C144/Data!C147))</f>
        <v>22.010559464323268</v>
      </c>
      <c r="C121" s="91">
        <f>IF(ISERROR(Data!D150/(Data!D148-Data!D144/Data!D147)),"",Data!D150/(Data!D148-Data!D144/Data!D147))</f>
        <v>27.16390423572744</v>
      </c>
      <c r="D121" s="91">
        <f>IF(ISERROR(Data!E150/(Data!E148-Data!E144/Data!E147)),"",Data!E150/(Data!E148-Data!E144/Data!E147))</f>
        <v>31.391434015681231</v>
      </c>
      <c r="E121" s="91">
        <f>IF(ISERROR(Data!F150/(Data!F148-Data!F144/Data!F147)),"",Data!F150/(Data!F148-Data!F144/Data!F147))</f>
        <v>27.717358490566035</v>
      </c>
      <c r="F121" s="91">
        <f>IF(ISERROR(Data!G150/(Data!G148-Data!G144/Data!G147)),"",Data!G150/(Data!G148-Data!G144/Data!G147))</f>
        <v>33.51841738176762</v>
      </c>
      <c r="G121" s="48"/>
      <c r="H121" s="48"/>
      <c r="I121" s="48"/>
      <c r="J121" s="48" t="s">
        <v>350</v>
      </c>
      <c r="K121" s="48"/>
      <c r="L121" s="48"/>
      <c r="M121" s="48"/>
      <c r="N121" s="48"/>
      <c r="O121" s="48"/>
      <c r="P121" s="48"/>
      <c r="Q121" s="48"/>
      <c r="R121" s="48"/>
      <c r="S121" s="48"/>
    </row>
    <row r="122" spans="1:19" ht="12.75" customHeight="1">
      <c r="A122" s="81" t="s">
        <v>111</v>
      </c>
      <c r="B122" s="83">
        <f>IF(ISERROR((Data!C147*Data!C150)/Data!C57),"",(Data!C147*Data!C150)/Data!C57)</f>
        <v>6.1537275650527956</v>
      </c>
      <c r="C122" s="83">
        <f>IF(ISERROR((Data!D147*Data!D150)/Data!D57),"",(Data!D147*Data!D150)/Data!D57)</f>
        <v>7.3551370131141116</v>
      </c>
      <c r="D122" s="83">
        <f>IF(ISERROR((Data!E147*Data!E150)/Data!E57),"",(Data!E147*Data!E150)/Data!E57)</f>
        <v>12.785335476094819</v>
      </c>
      <c r="E122" s="83">
        <f>IF(ISERROR((Data!F147*Data!F150)/Data!F57),"",(Data!F147*Data!F150)/Data!F57)</f>
        <v>10.727858497723821</v>
      </c>
      <c r="F122" s="83">
        <f>IF(ISERROR((Data!G147*Data!G150)/Data!G57),"",(Data!G147*Data!G150)/Data!G57)</f>
        <v>14.508952217256788</v>
      </c>
      <c r="G122" s="48"/>
      <c r="H122" s="48"/>
      <c r="I122" s="48"/>
      <c r="J122" s="48" t="s">
        <v>351</v>
      </c>
      <c r="K122" s="48"/>
      <c r="L122" s="48"/>
      <c r="M122" s="48"/>
      <c r="N122" s="48"/>
      <c r="P122" s="48"/>
      <c r="R122" s="48"/>
    </row>
    <row r="123" spans="1:19" ht="12.75" customHeight="1">
      <c r="A123" s="498" t="s">
        <v>714</v>
      </c>
      <c r="B123" s="540">
        <f>Data!C149</f>
        <v>0.26126911725248192</v>
      </c>
      <c r="C123" s="540">
        <f>Data!D149</f>
        <v>0.34231949819831847</v>
      </c>
      <c r="D123" s="540">
        <f>Data!E149</f>
        <v>0.41748539564524689</v>
      </c>
      <c r="E123" s="540">
        <f>Data!F149</f>
        <v>0.5224149432955304</v>
      </c>
      <c r="F123" s="540">
        <f>Data!G149</f>
        <v>0.62527775907346317</v>
      </c>
      <c r="G123" s="48"/>
      <c r="H123" s="48"/>
      <c r="I123" s="48"/>
      <c r="J123" s="48"/>
      <c r="K123" s="48"/>
      <c r="L123" s="48"/>
      <c r="M123" s="48"/>
      <c r="N123" s="48"/>
      <c r="P123" s="48"/>
      <c r="R123" s="48"/>
    </row>
    <row r="124" spans="1:19" ht="12.75" customHeight="1">
      <c r="A124" s="498" t="s">
        <v>715</v>
      </c>
      <c r="B124" s="111">
        <f>Data!C129/Data!C88</f>
        <v>-0.31267560407802841</v>
      </c>
      <c r="C124" s="111">
        <f>Data!D129/Data!D88</f>
        <v>-0.37071831189478255</v>
      </c>
      <c r="D124" s="111">
        <f>Data!E129/Data!E88</f>
        <v>-75.77108433735448</v>
      </c>
      <c r="E124" s="111">
        <f>Data!F129/Data!F88</f>
        <v>-0.37865673806875871</v>
      </c>
      <c r="F124" s="111">
        <f>Data!G129/Data!G88</f>
        <v>-0.33676651918473915</v>
      </c>
      <c r="G124" s="48"/>
      <c r="H124" s="48"/>
      <c r="I124" s="48"/>
      <c r="J124" s="48"/>
      <c r="K124" s="48"/>
      <c r="L124" s="48"/>
      <c r="M124" s="48"/>
      <c r="N124" s="48"/>
      <c r="P124" s="48"/>
      <c r="R124" s="48"/>
    </row>
    <row r="125" spans="1:19" ht="12.75" customHeight="1">
      <c r="A125" s="498" t="s">
        <v>716</v>
      </c>
      <c r="B125" s="111">
        <f>Data!C149/Data!C150</f>
        <v>1.4434757859253144E-2</v>
      </c>
      <c r="C125" s="111">
        <f>Data!D149/Data!D150</f>
        <v>1.3651824454569032E-2</v>
      </c>
      <c r="D125" s="111">
        <f>Data!E149/Data!E150</f>
        <v>1.0979234599480523E-2</v>
      </c>
      <c r="E125" s="111">
        <f>Data!F149/Data!F150</f>
        <v>1.3846142149364709E-2</v>
      </c>
      <c r="F125" s="111">
        <f>Data!G149/Data!G150</f>
        <v>1.1000664304599984E-2</v>
      </c>
      <c r="G125" s="48"/>
      <c r="H125" s="48"/>
      <c r="I125" s="48"/>
      <c r="J125" s="48"/>
      <c r="K125" s="48"/>
      <c r="L125" s="48"/>
      <c r="M125" s="48"/>
      <c r="N125" s="48"/>
      <c r="P125" s="48"/>
      <c r="R125" s="48"/>
    </row>
    <row r="126" spans="1:19" ht="12.75" customHeight="1">
      <c r="A126" s="80"/>
      <c r="B126" s="80"/>
      <c r="C126" s="80"/>
      <c r="D126" s="80"/>
      <c r="E126" s="80"/>
      <c r="F126" s="62"/>
      <c r="G126" s="48"/>
      <c r="H126" s="48"/>
      <c r="I126" s="48"/>
      <c r="J126" s="48"/>
      <c r="K126" s="48"/>
      <c r="L126" s="50"/>
      <c r="M126" s="52"/>
      <c r="N126" s="48"/>
      <c r="O126" s="48"/>
      <c r="P126" s="48"/>
      <c r="Q126" s="48"/>
      <c r="R126" s="48"/>
      <c r="S126" s="48"/>
    </row>
    <row r="127" spans="1:19" ht="12.75" customHeight="1" thickBot="1">
      <c r="B127" s="62"/>
      <c r="C127" s="62"/>
      <c r="D127" s="62"/>
      <c r="E127" s="62"/>
      <c r="F127" s="62"/>
      <c r="L127" s="112"/>
      <c r="M127" s="112"/>
    </row>
    <row r="128" spans="1:19" ht="12.75" customHeight="1" thickBot="1">
      <c r="A128" s="103" t="s">
        <v>33</v>
      </c>
      <c r="B128" s="104"/>
      <c r="C128" s="104"/>
      <c r="D128" s="104"/>
      <c r="E128" s="104"/>
      <c r="F128" s="105"/>
      <c r="J128" s="109" t="s">
        <v>498</v>
      </c>
      <c r="L128" s="52"/>
      <c r="M128" s="52"/>
    </row>
    <row r="129" spans="1:19" ht="12.75" customHeight="1" thickBot="1">
      <c r="A129" s="76" t="s">
        <v>18</v>
      </c>
      <c r="B129" s="77">
        <f>Data!$C$11</f>
        <v>2011</v>
      </c>
      <c r="C129" s="77">
        <f>Data!$D$11</f>
        <v>2012</v>
      </c>
      <c r="D129" s="77">
        <f>Data!$E$11</f>
        <v>2013</v>
      </c>
      <c r="E129" s="77">
        <f>Data!$F$11</f>
        <v>2014</v>
      </c>
      <c r="F129" s="77">
        <f>Data!$G$11</f>
        <v>2015</v>
      </c>
      <c r="G129" s="48"/>
      <c r="H129" s="48"/>
      <c r="I129" s="48"/>
      <c r="J129" s="48"/>
      <c r="K129" s="48"/>
      <c r="L129" s="50"/>
      <c r="M129" s="50"/>
    </row>
    <row r="130" spans="1:19" ht="12.75" customHeight="1">
      <c r="A130" s="70"/>
      <c r="B130" s="62"/>
      <c r="C130" s="62"/>
      <c r="D130" s="62"/>
      <c r="E130" s="62"/>
      <c r="F130" s="62"/>
      <c r="G130" s="48"/>
      <c r="H130" s="48"/>
      <c r="I130" s="48"/>
      <c r="J130" s="48"/>
      <c r="K130" s="48"/>
      <c r="L130" s="50"/>
      <c r="M130" s="52"/>
      <c r="N130" s="48"/>
      <c r="O130" s="48"/>
      <c r="P130" s="48"/>
      <c r="Q130" s="48"/>
      <c r="R130" s="48"/>
      <c r="S130" s="48"/>
    </row>
    <row r="131" spans="1:19" ht="12.75" customHeight="1">
      <c r="A131" s="517" t="str">
        <f>Data!A65</f>
        <v>Revenues</v>
      </c>
      <c r="B131" s="518">
        <f>IF(Data!C65/Data!C$65=0,"",Data!C65/Data!C$65)</f>
        <v>1</v>
      </c>
      <c r="C131" s="518">
        <f>IF(Data!D65/Data!D$65=0,"",Data!D65/Data!D$65)</f>
        <v>1</v>
      </c>
      <c r="D131" s="518">
        <f>IF(Data!E65/Data!E$65=0,"",Data!E65/Data!E$65)</f>
        <v>1</v>
      </c>
      <c r="E131" s="518">
        <f>IF(Data!F65/Data!F$65=0,"",Data!F65/Data!F$65)</f>
        <v>1</v>
      </c>
      <c r="F131" s="518">
        <f>IF(Data!G65/Data!G$65=0,"",Data!G65/Data!G$65)</f>
        <v>1</v>
      </c>
      <c r="G131" s="48"/>
      <c r="H131" s="48"/>
      <c r="I131" s="48"/>
      <c r="J131" s="48" t="s">
        <v>352</v>
      </c>
      <c r="K131" s="48"/>
      <c r="L131" s="112"/>
      <c r="M131" s="112"/>
    </row>
    <row r="132" spans="1:19" ht="12.75" customHeight="1">
      <c r="A132" s="81" t="str">
        <f>Data!A66</f>
        <v>&lt;Cost of sales and occupancy expense&gt;</v>
      </c>
      <c r="B132" s="113">
        <f>IF(Data!C66/Data!C$65=0,"",Data!C66/Data!C$65)</f>
        <v>-0.42300263238863633</v>
      </c>
      <c r="C132" s="113">
        <f>IF(Data!D66/Data!D$65=0,"",Data!D66/Data!D$65)</f>
        <v>-0.43710665814504307</v>
      </c>
      <c r="D132" s="113">
        <f>IF(Data!E66/Data!E$65=0,"",Data!E66/Data!E$65)</f>
        <v>-0.42929884036914473</v>
      </c>
      <c r="E132" s="113">
        <f>IF(Data!F66/Data!F$65=0,"",Data!F66/Data!F$65)</f>
        <v>-0.41700409781247344</v>
      </c>
      <c r="F132" s="113">
        <f>IF(Data!G66/Data!G$65=0,"",Data!G66/Data!G$65)</f>
        <v>-0.40638845256670508</v>
      </c>
      <c r="G132" s="48"/>
      <c r="H132" s="48"/>
      <c r="I132" s="48"/>
      <c r="J132" s="48"/>
      <c r="K132" s="48"/>
      <c r="L132" s="50"/>
      <c r="M132" s="50"/>
    </row>
    <row r="133" spans="1:19" ht="12.75" customHeight="1">
      <c r="A133" s="517" t="str">
        <f>Data!A67</f>
        <v xml:space="preserve">  Gross Profit</v>
      </c>
      <c r="B133" s="518">
        <f>IF(Data!C67/Data!C$65=0,"",Data!C67/Data!C$65)</f>
        <v>0.57699736761136367</v>
      </c>
      <c r="C133" s="518">
        <f>IF(Data!D67/Data!D$65=0,"",Data!D67/Data!D$65)</f>
        <v>0.56289334185495699</v>
      </c>
      <c r="D133" s="518">
        <f>IF(Data!E67/Data!E$65=0,"",Data!E67/Data!E$65)</f>
        <v>0.57070115963085533</v>
      </c>
      <c r="E133" s="518">
        <f>IF(Data!F67/Data!F$65=0,"",Data!F67/Data!F$65)</f>
        <v>0.58299590218752662</v>
      </c>
      <c r="F133" s="518">
        <f>IF(Data!G67/Data!G$65=0,"",Data!G67/Data!G$65)</f>
        <v>0.59361154743329492</v>
      </c>
      <c r="N133" s="48"/>
      <c r="O133" s="48"/>
      <c r="P133" s="48"/>
      <c r="Q133" s="48"/>
      <c r="R133" s="48"/>
      <c r="S133" s="48"/>
    </row>
    <row r="134" spans="1:19" ht="12.75" customHeight="1">
      <c r="A134" s="81" t="str">
        <f>Data!A68</f>
        <v>&lt;Store Operating Expenses&gt;</v>
      </c>
      <c r="B134" s="113">
        <f>IF(Data!C68/Data!C$65=0,"",Data!C68/Data!C$65)</f>
        <v>-0.31324570100167515</v>
      </c>
      <c r="C134" s="113">
        <f>IF(Data!D68/Data!D$65=0,"",Data!D68/Data!D$65)</f>
        <v>-0.29460506034061429</v>
      </c>
      <c r="D134" s="113">
        <f>IF(Data!E68/Data!E$65=0,"",Data!E68/Data!E$65)</f>
        <v>-0.28830010493179437</v>
      </c>
      <c r="E134" s="113">
        <f>IF(Data!F68/Data!F$65=0,"",Data!F68/Data!F$65)</f>
        <v>-0.28199516044698986</v>
      </c>
      <c r="F134" s="113">
        <f>IF(Data!G68/Data!G$65=0,"",Data!G68/Data!G$65)</f>
        <v>-0.28237670056933523</v>
      </c>
      <c r="N134" s="48"/>
      <c r="O134" s="48"/>
      <c r="P134" s="48"/>
      <c r="Q134" s="48"/>
      <c r="R134" s="48"/>
      <c r="S134" s="48"/>
    </row>
    <row r="135" spans="1:19" ht="12.75" customHeight="1">
      <c r="A135" s="81" t="str">
        <f>Data!A69</f>
        <v>&lt;Other Operating Expenses&gt;</v>
      </c>
      <c r="B135" s="113">
        <f>IF(Data!C69/Data!C$65=0,"",Data!C69/Data!C$65)</f>
        <v>-3.4357799733342451E-2</v>
      </c>
      <c r="C135" s="113">
        <f>IF(Data!D69/Data!D$65=0,"",Data!D69/Data!D$65)</f>
        <v>-3.2324523478326254E-2</v>
      </c>
      <c r="D135" s="113">
        <f>IF(Data!E69/Data!E$65=0,"",Data!E69/Data!E$65)</f>
        <v>-2.9044582559797673E-2</v>
      </c>
      <c r="E135" s="113">
        <f>IF(Data!F69/Data!F$65=0,"",Data!F69/Data!F$65)</f>
        <v>-2.7803110446381889E-2</v>
      </c>
      <c r="F135" s="113">
        <f>IF(Data!G69/Data!G$65=0,"",Data!G69/Data!G$65)</f>
        <v>-2.7261294076513225E-2</v>
      </c>
      <c r="G135" s="48"/>
      <c r="H135" s="48"/>
      <c r="I135" s="48"/>
      <c r="J135" s="48"/>
      <c r="K135" s="48"/>
      <c r="L135" s="48"/>
      <c r="M135" s="48"/>
      <c r="N135" s="48"/>
      <c r="P135" s="48"/>
      <c r="R135" s="48"/>
    </row>
    <row r="136" spans="1:19" ht="12.75" customHeight="1">
      <c r="A136" s="81" t="str">
        <f>Data!A70</f>
        <v>&lt;Depreciation and Amortization&gt;</v>
      </c>
      <c r="B136" s="113">
        <f>IF(Data!C70/Data!C$65=0,"",Data!C70/Data!C$65)</f>
        <v>-4.4724966667806225E-2</v>
      </c>
      <c r="C136" s="113">
        <f>IF(Data!D70/Data!D$65=0,"",Data!D70/Data!D$65)</f>
        <v>-4.1377495394563701E-2</v>
      </c>
      <c r="D136" s="113">
        <f>IF(Data!E70/Data!E$65=0,"",Data!E70/Data!E$65)</f>
        <v>-4.179783140958377E-2</v>
      </c>
      <c r="E136" s="113">
        <f>IF(Data!F70/Data!F$65=0,"",Data!F70/Data!F$65)</f>
        <v>-4.3142547939542072E-2</v>
      </c>
      <c r="F136" s="113">
        <f>IF(Data!G70/Data!G$65=0,"",Data!G70/Data!G$65)</f>
        <v>-4.6647914959791675E-2</v>
      </c>
      <c r="G136" s="48"/>
      <c r="H136" s="48"/>
      <c r="I136" s="48"/>
      <c r="J136" s="48"/>
      <c r="K136" s="48"/>
      <c r="L136" s="48"/>
      <c r="M136" s="48"/>
      <c r="N136" s="48"/>
      <c r="O136" s="48"/>
      <c r="P136" s="48"/>
      <c r="Q136" s="48"/>
      <c r="R136" s="48"/>
      <c r="S136" s="48"/>
    </row>
    <row r="137" spans="1:19" ht="12.75" customHeight="1">
      <c r="A137" s="81" t="str">
        <f>Data!A71</f>
        <v>&lt;General and Administrative Expenses&gt;</v>
      </c>
      <c r="B137" s="113">
        <f>IF(Data!C71/Data!C$65=0,"",Data!C71/Data!C$65)</f>
        <v>-5.4365662712385902E-2</v>
      </c>
      <c r="C137" s="113">
        <f>IF(Data!D71/Data!D$65=0,"",Data!D71/Data!D$65)</f>
        <v>-6.0242866273168168E-2</v>
      </c>
      <c r="D137" s="113">
        <f>IF(Data!E71/Data!E$65=0,"",Data!E71/Data!E$65)</f>
        <v>-6.308687814459063E-2</v>
      </c>
      <c r="E137" s="113">
        <f>IF(Data!F71/Data!F$65=0,"",Data!F71/Data!F$65)</f>
        <v>-6.0269458529408189E-2</v>
      </c>
      <c r="F137" s="113">
        <f>IF(Data!G71/Data!G$65=0,"",Data!G71/Data!G$65)</f>
        <v>-6.2449446059271399E-2</v>
      </c>
      <c r="G137" s="48"/>
      <c r="H137" s="48"/>
      <c r="I137" s="48"/>
      <c r="J137" s="48"/>
      <c r="K137" s="48"/>
      <c r="L137" s="48"/>
      <c r="M137" s="48"/>
    </row>
    <row r="138" spans="1:19" ht="12.75" customHeight="1">
      <c r="A138" s="81" t="str">
        <f>Data!A72</f>
        <v>Other operating expenses (1)</v>
      </c>
      <c r="B138" s="113" t="str">
        <f>IF(Data!C72/Data!C$65=0,"",Data!C72/Data!C$65)</f>
        <v/>
      </c>
      <c r="C138" s="113" t="str">
        <f>IF(Data!D72/Data!D$65=0,"",Data!D72/Data!D$65)</f>
        <v/>
      </c>
      <c r="D138" s="113" t="str">
        <f>IF(Data!E72/Data!E$65=0,"",Data!E72/Data!E$65)</f>
        <v/>
      </c>
      <c r="E138" s="113" t="str">
        <f>IF(Data!F72/Data!F$65=0,"",Data!F72/Data!F$65)</f>
        <v/>
      </c>
      <c r="F138" s="113" t="str">
        <f>IF(Data!G72/Data!G$65=0,"",Data!G72/Data!G$65)</f>
        <v/>
      </c>
      <c r="G138" s="48"/>
      <c r="H138" s="48"/>
      <c r="I138" s="48"/>
      <c r="J138" s="48"/>
      <c r="K138" s="48"/>
      <c r="L138" s="48"/>
      <c r="M138" s="48"/>
    </row>
    <row r="139" spans="1:19" ht="12.75" customHeight="1">
      <c r="A139" s="81" t="str">
        <f>Data!A73</f>
        <v>Other operating expenses (2)</v>
      </c>
      <c r="B139" s="113" t="str">
        <f>IF(Data!C73/Data!C$65=0,"",Data!C73/Data!C$65)</f>
        <v/>
      </c>
      <c r="C139" s="113" t="str">
        <f>IF(Data!D73/Data!D$65=0,"",Data!D73/Data!D$65)</f>
        <v/>
      </c>
      <c r="D139" s="113" t="str">
        <f>IF(Data!E73/Data!E$65=0,"",Data!E73/Data!E$65)</f>
        <v/>
      </c>
      <c r="E139" s="113" t="str">
        <f>IF(Data!F73/Data!F$65=0,"",Data!F73/Data!F$65)</f>
        <v/>
      </c>
      <c r="F139" s="113" t="str">
        <f>IF(Data!G73/Data!G$65=0,"",Data!G73/Data!G$65)</f>
        <v/>
      </c>
      <c r="N139" s="48"/>
      <c r="O139" s="48"/>
      <c r="P139" s="48"/>
      <c r="Q139" s="48"/>
      <c r="R139" s="48"/>
      <c r="S139" s="48"/>
    </row>
    <row r="140" spans="1:19" ht="12.75" customHeight="1">
      <c r="A140" s="81" t="str">
        <f>Data!A74</f>
        <v>Income from Equity Investees</v>
      </c>
      <c r="B140" s="113">
        <f>IF(Data!C74/Data!C$65=0,"",Data!C74/Data!C$65)</f>
        <v>1.4845646302690505E-2</v>
      </c>
      <c r="C140" s="113">
        <f>IF(Data!D74/Data!D$65=0,"",Data!D74/Data!D$65)</f>
        <v>1.5842700853415541E-2</v>
      </c>
      <c r="D140" s="113">
        <f>IF(Data!E74/Data!E$65=0,"",Data!E74/Data!E$65)</f>
        <v>1.6910162240697395E-2</v>
      </c>
      <c r="E140" s="113">
        <f>IF(Data!F74/Data!F$65=0,"",Data!F74/Data!F$65)</f>
        <v>1.6312211967557971E-2</v>
      </c>
      <c r="F140" s="113">
        <f>IF(Data!G74/Data!G$65=0,"",Data!G74/Data!G$65)</f>
        <v>1.3040959781241684E-2</v>
      </c>
      <c r="G140" s="48"/>
      <c r="H140" s="48"/>
      <c r="I140" s="48"/>
      <c r="J140" s="48"/>
      <c r="K140" s="48"/>
      <c r="L140" s="48"/>
      <c r="M140" s="48"/>
    </row>
    <row r="141" spans="1:19" ht="12.75" customHeight="1">
      <c r="A141" s="81" t="str">
        <f>Data!A75</f>
        <v>Non-recurring operating gains &lt;losses&gt;</v>
      </c>
      <c r="B141" s="113">
        <f>IF(Data!C75/Data!C$65=0,"",Data!C75/Data!C$65)</f>
        <v>2.5811083381764724E-3</v>
      </c>
      <c r="C141" s="113" t="str">
        <f>IF(Data!D75/Data!D$65=0,"",Data!D75/Data!D$65)</f>
        <v/>
      </c>
      <c r="D141" s="113">
        <f>IF(Data!E75/Data!E$65=0,"",Data!E75/Data!E$65)</f>
        <v>-0.18726962090026097</v>
      </c>
      <c r="E141" s="113">
        <f>IF(Data!F75/Data!F$65=0,"",Data!F75/Data!F$65)</f>
        <v>1.2281277739272121E-3</v>
      </c>
      <c r="F141" s="113" t="str">
        <f>IF(Data!G75/Data!G$65=0,"",Data!G75/Data!G$65)</f>
        <v/>
      </c>
      <c r="G141" s="48"/>
      <c r="H141" s="48"/>
      <c r="I141" s="48"/>
      <c r="J141" s="48"/>
      <c r="K141" s="48"/>
      <c r="L141" s="48"/>
      <c r="M141" s="48"/>
    </row>
    <row r="142" spans="1:19" ht="12.75" customHeight="1">
      <c r="A142" s="517" t="str">
        <f>Data!A76</f>
        <v xml:space="preserve">  Operating Profit</v>
      </c>
      <c r="B142" s="518">
        <f>IF(Data!C76/Data!C$65=0,"",Data!C76/Data!C$65)</f>
        <v>0.14772999213702095</v>
      </c>
      <c r="C142" s="518">
        <f>IF(Data!D76/Data!D$65=0,"",Data!D76/Data!D$65)</f>
        <v>0.15018609722170004</v>
      </c>
      <c r="D142" s="518">
        <f>IF(Data!E76/Data!E$65=0,"",Data!E76/Data!E$65)</f>
        <v>-2.1887696074474706E-2</v>
      </c>
      <c r="E142" s="518">
        <f>IF(Data!F76/Data!F$65=0,"",Data!F76/Data!F$65)</f>
        <v>0.18732596456668979</v>
      </c>
      <c r="F142" s="518">
        <f>IF(Data!G76/Data!G$65=0,"",Data!G76/Data!G$65)</f>
        <v>0.18791715154962513</v>
      </c>
      <c r="G142" s="48"/>
      <c r="H142" s="48"/>
      <c r="I142" s="48"/>
      <c r="J142" s="48"/>
      <c r="K142" s="48"/>
      <c r="L142" s="48"/>
      <c r="M142" s="48"/>
      <c r="N142" s="48"/>
      <c r="O142" s="48"/>
      <c r="P142" s="48"/>
      <c r="Q142" s="48"/>
      <c r="R142" s="48"/>
      <c r="S142" s="48"/>
    </row>
    <row r="143" spans="1:19" ht="12.75" customHeight="1">
      <c r="A143" s="81" t="str">
        <f>Data!A77</f>
        <v>Interest income</v>
      </c>
      <c r="B143" s="113">
        <f>IF(Data!C77/Data!C$65=0,"",Data!C77/Data!C$65)</f>
        <v>9.9056442514785827E-3</v>
      </c>
      <c r="C143" s="113">
        <f>IF(Data!D77/Data!D$65=0,"",Data!D77/Data!D$65)</f>
        <v>7.0980112034287005E-3</v>
      </c>
      <c r="D143" s="113">
        <f>IF(Data!E77/Data!E$65=0,"",Data!E77/Data!E$65)</f>
        <v>8.313826781822584E-3</v>
      </c>
      <c r="E143" s="113">
        <f>IF(Data!F77/Data!F$65=0,"",Data!F77/Data!F$65)</f>
        <v>8.6759323435353052E-3</v>
      </c>
      <c r="F143" s="113">
        <f>IF(Data!G77/Data!G$65=0,"",Data!G77/Data!G$65)</f>
        <v>2.2439426594373442E-3</v>
      </c>
      <c r="N143" s="48"/>
      <c r="P143" s="48"/>
      <c r="R143" s="48"/>
    </row>
    <row r="144" spans="1:19" ht="12.75" customHeight="1">
      <c r="A144" s="81" t="str">
        <f>Data!A78</f>
        <v>&lt;Interest expense&gt;</v>
      </c>
      <c r="B144" s="113">
        <f>IF(Data!C78/Data!C$65=0,"",Data!C78/Data!C$65)</f>
        <v>-2.846056545075382E-3</v>
      </c>
      <c r="C144" s="113">
        <f>IF(Data!D78/Data!D$65=0,"",Data!D78/Data!D$65)</f>
        <v>-2.4587390503402386E-3</v>
      </c>
      <c r="D144" s="113">
        <f>IF(Data!E78/Data!E$65=0,"",Data!E78/Data!E$65)</f>
        <v>-1.8901175774208305E-3</v>
      </c>
      <c r="E144" s="113">
        <f>IF(Data!F78/Data!F$65=0,"",Data!F78/Data!F$65)</f>
        <v>-3.897177738056153E-3</v>
      </c>
      <c r="F144" s="113">
        <f>IF(Data!G78/Data!G$65=0,"",Data!G78/Data!G$65)</f>
        <v>-3.6790222672170411E-3</v>
      </c>
      <c r="N144" s="48"/>
      <c r="O144" s="48"/>
      <c r="P144" s="48"/>
      <c r="Q144" s="48"/>
      <c r="R144" s="48"/>
      <c r="S144" s="48"/>
    </row>
    <row r="145" spans="1:23" ht="12.75" customHeight="1">
      <c r="A145" s="81" t="str">
        <f>Data!A79</f>
        <v>Income &lt;Loss&gt; from equity affiliates</v>
      </c>
      <c r="B145" s="113" t="str">
        <f>IF(Data!C79/Data!C$65=0,"",Data!C79/Data!C$65)</f>
        <v/>
      </c>
      <c r="C145" s="113" t="str">
        <f>IF(Data!D79/Data!D$65=0,"",Data!D79/Data!D$65)</f>
        <v/>
      </c>
      <c r="D145" s="113" t="str">
        <f>IF(Data!E79/Data!E$65=0,"",Data!E79/Data!E$65)</f>
        <v/>
      </c>
      <c r="E145" s="113" t="str">
        <f>IF(Data!F79/Data!F$65=0,"",Data!F79/Data!F$65)</f>
        <v/>
      </c>
      <c r="F145" s="113" t="str">
        <f>IF(Data!G79/Data!G$65=0,"",Data!G79/Data!G$65)</f>
        <v/>
      </c>
      <c r="G145" s="48"/>
      <c r="H145" s="48"/>
      <c r="I145" s="48"/>
      <c r="J145" s="48"/>
      <c r="K145" s="48"/>
      <c r="L145" s="48"/>
      <c r="M145" s="48"/>
    </row>
    <row r="146" spans="1:23" ht="12.75" customHeight="1">
      <c r="A146" s="81" t="str">
        <f>Data!A80</f>
        <v>Other income or gains &lt;Other expenses or losses&gt;</v>
      </c>
      <c r="B146" s="113" t="str">
        <f>IF(Data!C80/Data!C$65=0,"",Data!C80/Data!C$65)</f>
        <v/>
      </c>
      <c r="C146" s="113" t="str">
        <f>IF(Data!D80/Data!D$65=0,"",Data!D80/Data!D$65)</f>
        <v/>
      </c>
      <c r="D146" s="113" t="str">
        <f>IF(Data!E80/Data!E$65=0,"",Data!E80/Data!E$65)</f>
        <v/>
      </c>
      <c r="E146" s="113" t="str">
        <f>IF(Data!F80/Data!F$65=0,"",Data!F80/Data!F$65)</f>
        <v/>
      </c>
      <c r="F146" s="113">
        <f>IF(Data!G80/Data!G$65=0,"",Data!G80/Data!G$65)</f>
        <v>1.7194862936851279E-2</v>
      </c>
      <c r="G146" s="48"/>
      <c r="H146" s="48"/>
      <c r="I146" s="48"/>
      <c r="J146" s="48"/>
      <c r="K146" s="48"/>
      <c r="L146" s="48"/>
      <c r="M146" s="48"/>
    </row>
    <row r="147" spans="1:23" ht="12.75" customHeight="1">
      <c r="A147" s="517" t="str">
        <f>Data!A81</f>
        <v xml:space="preserve">  Income before Tax</v>
      </c>
      <c r="B147" s="518">
        <f>IF(Data!C81/Data!C$65=0,"",Data!C81/Data!C$65)</f>
        <v>0.15478957984342417</v>
      </c>
      <c r="C147" s="518">
        <f>IF(Data!D81/Data!D$65=0,"",Data!D81/Data!D$65)</f>
        <v>0.15482536937478852</v>
      </c>
      <c r="D147" s="518">
        <f>IF(Data!E81/Data!E$65=0,"",Data!E81/Data!E$65)</f>
        <v>-1.5463986870072952E-2</v>
      </c>
      <c r="E147" s="518">
        <f>IF(Data!F81/Data!F$65=0,"",Data!F81/Data!F$65)</f>
        <v>0.19210471917216895</v>
      </c>
      <c r="F147" s="518">
        <f>IF(Data!G81/Data!G$65=0,"",Data!G81/Data!G$65)</f>
        <v>0.2036769348786967</v>
      </c>
    </row>
    <row r="148" spans="1:23" ht="12.75" customHeight="1">
      <c r="A148" s="81" t="str">
        <f>Data!A82</f>
        <v>&lt;Income tax expense&gt;</v>
      </c>
      <c r="B148" s="113">
        <f>IF(Data!C82/Data!C$65=0,"",Data!C82/Data!C$65)</f>
        <v>-4.8126559775734164E-2</v>
      </c>
      <c r="C148" s="113">
        <f>IF(Data!D82/Data!D$65=0,"",Data!D82/Data!D$65)</f>
        <v>-5.0708673258393171E-2</v>
      </c>
      <c r="D148" s="113">
        <f>IF(Data!E82/Data!E$65=0,"",Data!E82/Data!E$65)</f>
        <v>1.6055909812468051E-2</v>
      </c>
      <c r="E148" s="113">
        <f>IF(Data!F82/Data!F$65=0,"",Data!F82/Data!F$65)</f>
        <v>-6.6391857877649299E-2</v>
      </c>
      <c r="F148" s="113">
        <f>IF(Data!G82/Data!G$65=0,"",Data!G82/Data!G$65)</f>
        <v>-5.9683656269732342E-2</v>
      </c>
    </row>
    <row r="149" spans="1:23" ht="12.75" customHeight="1">
      <c r="A149" s="81" t="str">
        <f>Data!A83</f>
        <v>Income &lt;Loss&gt; from discontinued operations</v>
      </c>
      <c r="B149" s="113" t="str">
        <f>IF(Data!C83/Data!C$65=0,"",Data!C83/Data!C$65)</f>
        <v/>
      </c>
      <c r="C149" s="113" t="str">
        <f>IF(Data!D83/Data!D$65=0,"",Data!D83/Data!D$65)</f>
        <v/>
      </c>
      <c r="D149" s="113" t="str">
        <f>IF(Data!E83/Data!E$65=0,"",Data!E83/Data!E$65)</f>
        <v/>
      </c>
      <c r="E149" s="113" t="str">
        <f>IF(Data!F83/Data!F$65=0,"",Data!F83/Data!F$65)</f>
        <v/>
      </c>
      <c r="F149" s="113" t="str">
        <f>IF(Data!G83/Data!G$65=0,"",Data!G83/Data!G$65)</f>
        <v/>
      </c>
    </row>
    <row r="150" spans="1:23" ht="12.75" customHeight="1">
      <c r="A150" s="81" t="str">
        <f>Data!A84</f>
        <v>Extraordinary gains &lt;losses&gt;</v>
      </c>
      <c r="B150" s="113" t="str">
        <f>IF(Data!C84/Data!C$65=0,"",Data!C84/Data!C$65)</f>
        <v/>
      </c>
      <c r="C150" s="113" t="str">
        <f>IF(Data!D84/Data!D$65=0,"",Data!D84/Data!D$65)</f>
        <v/>
      </c>
      <c r="D150" s="113" t="str">
        <f>IF(Data!E84/Data!E$65=0,"",Data!E84/Data!E$65)</f>
        <v/>
      </c>
      <c r="E150" s="113" t="str">
        <f>IF(Data!F84/Data!F$65=0,"",Data!F84/Data!F$65)</f>
        <v/>
      </c>
      <c r="F150" s="113" t="str">
        <f>IF(Data!G84/Data!G$65=0,"",Data!G84/Data!G$65)</f>
        <v/>
      </c>
    </row>
    <row r="151" spans="1:23" ht="12.75" customHeight="1">
      <c r="A151" s="81" t="str">
        <f>Data!A85</f>
        <v>Changes in accounting principles</v>
      </c>
      <c r="B151" s="113" t="str">
        <f>IF(Data!C85/Data!C$65=0,"",Data!C85/Data!C$65)</f>
        <v/>
      </c>
      <c r="C151" s="113" t="str">
        <f>IF(Data!D85/Data!D$65=0,"",Data!D85/Data!D$65)</f>
        <v/>
      </c>
      <c r="D151" s="113" t="str">
        <f>IF(Data!E85/Data!E$65=0,"",Data!E85/Data!E$65)</f>
        <v/>
      </c>
      <c r="E151" s="113" t="str">
        <f>IF(Data!F85/Data!F$65=0,"",Data!F85/Data!F$65)</f>
        <v/>
      </c>
      <c r="F151" s="113" t="str">
        <f>IF(Data!G85/Data!G$65=0,"",Data!G85/Data!G$65)</f>
        <v/>
      </c>
    </row>
    <row r="152" spans="1:23" ht="12.75" customHeight="1">
      <c r="A152" s="517" t="str">
        <f>Data!A86</f>
        <v xml:space="preserve">  Net Income </v>
      </c>
      <c r="B152" s="518">
        <f>IF(Data!C86/Data!C$65=0,"",Data!C86/Data!C$65)</f>
        <v>0.10666302006769</v>
      </c>
      <c r="C152" s="518">
        <f>IF(Data!D86/Data!D$65=0,"",Data!D86/Data!D$65)</f>
        <v>0.10411669611639535</v>
      </c>
      <c r="D152" s="518">
        <f>IF(Data!E86/Data!E$65=0,"",Data!E86/Data!E$65)</f>
        <v>5.9192294239509798E-4</v>
      </c>
      <c r="E152" s="518">
        <f>IF(Data!F86/Data!F$65=0,"",Data!F86/Data!F$65)</f>
        <v>0.12571286129451967</v>
      </c>
      <c r="F152" s="518">
        <f>IF(Data!G86/Data!G$65=0,"",Data!G86/Data!G$65)</f>
        <v>0.14399327860896435</v>
      </c>
      <c r="G152" s="48"/>
      <c r="H152" s="48"/>
      <c r="I152" s="48"/>
      <c r="J152" s="48"/>
      <c r="K152" s="48"/>
      <c r="L152" s="48"/>
      <c r="M152" s="48"/>
      <c r="N152" s="48"/>
      <c r="O152" s="48"/>
      <c r="P152" s="48"/>
      <c r="Q152" s="48"/>
      <c r="R152" s="48"/>
      <c r="S152" s="48"/>
    </row>
    <row r="153" spans="1:23" ht="12.75" customHeight="1">
      <c r="A153" s="498" t="str">
        <f>Data!A87</f>
        <v>Net income attributable to noncontrolling interests</v>
      </c>
      <c r="B153" s="516">
        <f>IF(Data!C87/Data!C$65=0,"",Data!C87/Data!C$65)</f>
        <v>-1.9657447608628764E-4</v>
      </c>
      <c r="C153" s="516">
        <f>IF(Data!D87/Data!D$65=0,"",Data!D87/Data!D$65)</f>
        <v>-6.7671716981841421E-5</v>
      </c>
      <c r="D153" s="516">
        <f>IF(Data!E87/Data!E$65=0,"",Data!E87/Data!E$65)</f>
        <v>-3.3631985363359968E-5</v>
      </c>
      <c r="E153" s="516">
        <f>IF(Data!F87/Data!F$65=0,"",Data!F87/Data!F$65)</f>
        <v>2.4319361859944799E-5</v>
      </c>
      <c r="F153" s="516">
        <f>IF(Data!G87/Data!G$65=0,"",Data!G87/Data!G$65)</f>
        <v>-9.915095471932451E-5</v>
      </c>
      <c r="G153" s="114"/>
      <c r="H153" s="48"/>
      <c r="I153" s="48"/>
      <c r="J153" s="48"/>
      <c r="K153" s="48"/>
      <c r="L153" s="48"/>
      <c r="M153" s="48"/>
      <c r="N153" s="48"/>
      <c r="O153" s="48"/>
      <c r="P153" s="48"/>
      <c r="Q153" s="48"/>
      <c r="R153" s="48"/>
      <c r="S153" s="48"/>
    </row>
    <row r="154" spans="1:23" ht="12.75" customHeight="1">
      <c r="A154" s="517" t="str">
        <f>Data!A88</f>
        <v xml:space="preserve">  Net Income attributable to common shareholders</v>
      </c>
      <c r="B154" s="518">
        <f>IF(Data!C88/Data!C$65=0,"",Data!C88/Data!C$65)</f>
        <v>0.10646644559160372</v>
      </c>
      <c r="C154" s="518">
        <f>IF(Data!D88/Data!D$65=0,"",Data!D88/Data!D$65)</f>
        <v>0.10404902439941349</v>
      </c>
      <c r="D154" s="518">
        <f>IF(Data!E88/Data!E$65=0,"",Data!E88/Data!E$65)</f>
        <v>5.5829095703173806E-4</v>
      </c>
      <c r="E154" s="518">
        <f>IF(Data!F88/Data!F$65=0,"",Data!F88/Data!F$65)</f>
        <v>0.12573718065637959</v>
      </c>
      <c r="F154" s="518">
        <f>IF(Data!G88/Data!G$65=0,"",Data!G88/Data!G$65)</f>
        <v>0.143894127654245</v>
      </c>
      <c r="G154" s="48"/>
      <c r="H154" s="114"/>
      <c r="I154" s="48"/>
      <c r="J154" s="48"/>
      <c r="K154" s="48"/>
      <c r="L154" s="48"/>
      <c r="M154" s="48"/>
      <c r="N154" s="48"/>
      <c r="O154" s="48"/>
      <c r="P154" s="48"/>
      <c r="Q154" s="48"/>
      <c r="R154" s="48"/>
      <c r="S154" s="48"/>
    </row>
    <row r="155" spans="1:23" ht="12.75" customHeight="1">
      <c r="A155" s="102"/>
      <c r="B155" s="82"/>
      <c r="C155" s="82"/>
      <c r="D155" s="82"/>
      <c r="E155" s="82"/>
      <c r="F155" s="82"/>
    </row>
    <row r="156" spans="1:23" ht="12.75" customHeight="1">
      <c r="A156" s="498" t="str">
        <f>Data!A91</f>
        <v>Other comprehensive income items</v>
      </c>
      <c r="B156" s="516">
        <f>IF(Data!C91/Data!C$65=0,"",Data!C91/Data!C$65)</f>
        <v>-9.3159208232197191E-4</v>
      </c>
      <c r="C156" s="516">
        <f>IF(Data!D91/Data!D$65=0,"",Data!D91/Data!D$65)</f>
        <v>-1.7745028008571749E-3</v>
      </c>
      <c r="D156" s="516">
        <f>IF(Data!E91/Data!E$65=0,"",Data!E91/Data!E$65)</f>
        <v>2.9461619178303335E-3</v>
      </c>
      <c r="E156" s="516">
        <f>IF(Data!F91/Data!F$65=0,"",Data!F91/Data!F$65)</f>
        <v>-2.5109741120393006E-3</v>
      </c>
      <c r="F156" s="516">
        <f>IF(Data!G91/Data!G$65=0,"",Data!G91/Data!G$65)</f>
        <v>-1.0202111393488391E-2</v>
      </c>
    </row>
    <row r="157" spans="1:23" ht="12.75" customHeight="1">
      <c r="A157" s="517" t="str">
        <f>Data!A92</f>
        <v>Comprehensive Income</v>
      </c>
      <c r="B157" s="518">
        <f>IF(Data!C92/Data!C$65=0,"",Data!C92/Data!C$65)</f>
        <v>0.10573142798536801</v>
      </c>
      <c r="C157" s="518">
        <f>IF(Data!D92/Data!D$65=0,"",Data!D92/Data!D$65)</f>
        <v>0.10234219331553818</v>
      </c>
      <c r="D157" s="518">
        <f>IF(Data!E92/Data!E$65=0,"",Data!E92/Data!E$65)</f>
        <v>3.5380848602254312E-3</v>
      </c>
      <c r="E157" s="518">
        <f>IF(Data!F92/Data!F$65=0,"",Data!F92/Data!F$65)</f>
        <v>0.12320188718248036</v>
      </c>
      <c r="F157" s="518">
        <f>IF(Data!G92/Data!G$65=0,"",Data!G92/Data!G$65)</f>
        <v>0.13379116721547596</v>
      </c>
    </row>
    <row r="158" spans="1:23" ht="12.75" customHeight="1">
      <c r="A158" s="512"/>
      <c r="B158" s="513"/>
      <c r="C158" s="513"/>
      <c r="D158" s="513"/>
      <c r="E158" s="513"/>
      <c r="F158" s="513"/>
    </row>
    <row r="159" spans="1:23" ht="12.75" customHeight="1" thickBot="1">
      <c r="A159" s="514"/>
      <c r="B159" s="515"/>
      <c r="C159" s="515"/>
      <c r="D159" s="515"/>
      <c r="E159" s="515"/>
      <c r="F159" s="515"/>
      <c r="G159" s="48"/>
    </row>
    <row r="160" spans="1:23" ht="12.75" customHeight="1" thickBot="1">
      <c r="A160" s="103" t="s">
        <v>20</v>
      </c>
      <c r="B160" s="104"/>
      <c r="C160" s="104"/>
      <c r="D160" s="104"/>
      <c r="E160" s="104"/>
      <c r="F160" s="104"/>
      <c r="G160" s="105"/>
      <c r="H160" s="48"/>
      <c r="I160" s="48"/>
      <c r="J160" s="75" t="s">
        <v>499</v>
      </c>
      <c r="K160" s="48"/>
      <c r="L160" s="48"/>
      <c r="M160" s="48"/>
      <c r="N160" s="48"/>
      <c r="O160" s="48"/>
      <c r="P160" s="48"/>
      <c r="Q160" s="48"/>
      <c r="R160" s="48"/>
      <c r="S160" s="48"/>
      <c r="T160" s="48"/>
      <c r="U160" s="48"/>
      <c r="V160" s="48"/>
      <c r="W160" s="48"/>
    </row>
    <row r="161" spans="1:23" ht="12.75" customHeight="1" thickBot="1">
      <c r="A161" s="76" t="s">
        <v>18</v>
      </c>
      <c r="B161" s="77">
        <f>Data!$C$11</f>
        <v>2011</v>
      </c>
      <c r="C161" s="77">
        <f>Data!$D$11</f>
        <v>2012</v>
      </c>
      <c r="D161" s="77">
        <f>Data!$E$11</f>
        <v>2013</v>
      </c>
      <c r="E161" s="77">
        <f>Data!$F$11</f>
        <v>2014</v>
      </c>
      <c r="F161" s="77">
        <f>Data!$G$11</f>
        <v>2015</v>
      </c>
      <c r="G161" s="77"/>
      <c r="H161" s="48"/>
      <c r="I161" s="48"/>
      <c r="J161" s="48"/>
      <c r="K161" s="48"/>
      <c r="L161" s="48"/>
      <c r="M161" s="48"/>
      <c r="N161" s="48"/>
      <c r="O161" s="48"/>
      <c r="P161" s="48"/>
      <c r="Q161" s="48"/>
      <c r="R161" s="48"/>
      <c r="S161" s="48"/>
      <c r="T161" s="48"/>
      <c r="U161" s="48"/>
      <c r="V161" s="48"/>
      <c r="W161" s="48"/>
    </row>
    <row r="162" spans="1:23" ht="12.75" customHeight="1">
      <c r="B162" s="80"/>
      <c r="C162" s="80"/>
      <c r="D162" s="80"/>
      <c r="E162" s="80"/>
      <c r="F162" s="62"/>
      <c r="G162" s="115" t="s">
        <v>454</v>
      </c>
      <c r="H162" s="48"/>
      <c r="I162" s="48"/>
      <c r="J162" s="48"/>
      <c r="K162" s="48"/>
      <c r="L162" s="48"/>
      <c r="M162" s="48"/>
      <c r="N162" s="48"/>
      <c r="O162" s="48"/>
      <c r="P162" s="48"/>
      <c r="Q162" s="48"/>
      <c r="R162" s="48"/>
      <c r="S162" s="48"/>
      <c r="T162" s="48"/>
      <c r="U162" s="48"/>
      <c r="V162" s="48"/>
      <c r="W162" s="48"/>
    </row>
    <row r="163" spans="1:23" ht="12.75" customHeight="1">
      <c r="A163" s="70"/>
      <c r="B163" s="116"/>
      <c r="C163" s="117"/>
      <c r="D163" s="117"/>
      <c r="E163" s="80"/>
      <c r="F163" s="62"/>
      <c r="G163" s="115" t="s">
        <v>455</v>
      </c>
    </row>
    <row r="164" spans="1:23" ht="12.75" customHeight="1">
      <c r="A164" s="80"/>
      <c r="B164" s="118" t="s">
        <v>358</v>
      </c>
      <c r="C164" s="119"/>
      <c r="D164" s="116"/>
      <c r="E164" s="80"/>
      <c r="F164" s="62"/>
      <c r="G164" s="115" t="s">
        <v>456</v>
      </c>
      <c r="H164" s="48"/>
      <c r="I164" s="48"/>
      <c r="J164" s="48"/>
      <c r="K164" s="48"/>
      <c r="L164" s="48"/>
      <c r="M164" s="48"/>
      <c r="N164" s="48"/>
      <c r="O164" s="48"/>
      <c r="P164" s="48"/>
      <c r="Q164" s="48"/>
      <c r="R164" s="48"/>
      <c r="S164" s="48"/>
      <c r="T164" s="48"/>
      <c r="U164" s="48"/>
      <c r="V164" s="48"/>
      <c r="W164" s="48"/>
    </row>
    <row r="165" spans="1:23" ht="12.75" customHeight="1">
      <c r="A165" s="517" t="str">
        <f>Data!A65</f>
        <v>Revenues</v>
      </c>
      <c r="B165" s="520">
        <f>IF(ISERROR(Data!C65/Data!B65-1),"",Data!C65/Data!B65-1)</f>
        <v>9.273960065001785E-2</v>
      </c>
      <c r="C165" s="520">
        <f>IF(ISERROR(Data!D65/Data!C65-1),"",Data!D65/Data!C65-1)</f>
        <v>0.13667054117807931</v>
      </c>
      <c r="D165" s="520">
        <f>IF(ISERROR(Data!E65/Data!D65-1),"",Data!E65/Data!D65-1)</f>
        <v>0.11784653558404456</v>
      </c>
      <c r="E165" s="520">
        <f>IF(ISERROR(Data!F65/Data!E65-1),"",Data!F65/Data!E65-1)</f>
        <v>0.10634433771894414</v>
      </c>
      <c r="F165" s="520">
        <f>IF(ISERROR(Data!G65/Data!F65-1),"",Data!G65/Data!F65-1)</f>
        <v>0.16506158878391042</v>
      </c>
      <c r="G165" s="520">
        <f>IF(ISERROR((Data!G65/Data!B65)^(1/5)-1),"",(Data!G65/Data!B65)^(1/5)-1)</f>
        <v>0.12345203358764811</v>
      </c>
      <c r="H165" s="48"/>
      <c r="I165" s="48"/>
      <c r="J165" s="48" t="s">
        <v>353</v>
      </c>
      <c r="K165" s="48"/>
      <c r="L165" s="48"/>
      <c r="M165" s="48"/>
      <c r="N165" s="48"/>
      <c r="O165" s="48"/>
      <c r="P165" s="48"/>
      <c r="Q165" s="48"/>
      <c r="R165" s="48"/>
      <c r="S165" s="48"/>
      <c r="T165" s="48"/>
      <c r="U165" s="48"/>
      <c r="V165" s="48"/>
      <c r="W165" s="48"/>
    </row>
    <row r="166" spans="1:23" ht="12.75" customHeight="1">
      <c r="A166" s="81" t="str">
        <f>Data!A66</f>
        <v>&lt;Cost of sales and occupancy expense&gt;</v>
      </c>
      <c r="B166" s="33">
        <f>IF(ISERROR(Data!C66/Data!B66-1),"",Data!C66/Data!B66-1)</f>
        <v>0.11005696855515179</v>
      </c>
      <c r="C166" s="33">
        <f>IF(ISERROR(Data!D66/Data!C66-1),"",Data!D66/Data!C66-1)</f>
        <v>0.17457014123209347</v>
      </c>
      <c r="D166" s="33">
        <f>IF(ISERROR(Data!E66/Data!D66-1),"",Data!E66/Data!D66-1)</f>
        <v>9.7879001599779913E-2</v>
      </c>
      <c r="E166" s="33">
        <f>IF(ISERROR(Data!F66/Data!E66-1),"",Data!F66/Data!E66-1)</f>
        <v>7.4659605471381729E-2</v>
      </c>
      <c r="F166" s="33">
        <f>IF(ISERROR(Data!G66/Data!F66-1),"",Data!G66/Data!F66-1)</f>
        <v>0.13540269434886576</v>
      </c>
      <c r="G166" s="33">
        <f>IF(ISERROR((Data!G66/Data!B66)^(1/5)-1),"",(Data!G66/Data!B66)^(1/5)-1)</f>
        <v>0.1179951244215065</v>
      </c>
      <c r="H166" s="48"/>
      <c r="I166" s="48"/>
      <c r="J166" s="48" t="s">
        <v>354</v>
      </c>
      <c r="K166" s="48"/>
      <c r="L166" s="48"/>
      <c r="M166" s="48"/>
      <c r="N166" s="48"/>
      <c r="O166" s="48"/>
      <c r="P166" s="48"/>
      <c r="Q166" s="48"/>
      <c r="R166" s="48"/>
      <c r="S166" s="48"/>
      <c r="T166" s="48"/>
      <c r="U166" s="48"/>
      <c r="V166" s="48"/>
      <c r="W166" s="48"/>
    </row>
    <row r="167" spans="1:23" ht="12.75" customHeight="1">
      <c r="A167" s="517" t="str">
        <f>Data!A67</f>
        <v xml:space="preserve">  Gross Profit</v>
      </c>
      <c r="B167" s="520">
        <f>IF(ISERROR(Data!C67/Data!B67-1),"",Data!C67/Data!B67-1)</f>
        <v>8.038343361925504E-2</v>
      </c>
      <c r="C167" s="520">
        <f>IF(ISERROR(Data!D67/Data!C67-1),"",Data!D67/Data!C67-1)</f>
        <v>0.108885959325147</v>
      </c>
      <c r="D167" s="520">
        <f>IF(ISERROR(Data!E67/Data!D67-1),"",Data!E67/Data!D67-1)</f>
        <v>0.133352034409981</v>
      </c>
      <c r="E167" s="520">
        <f>IF(ISERROR(Data!F67/Data!E67-1),"",Data!F67/Data!E67-1)</f>
        <v>0.13017856090517999</v>
      </c>
      <c r="F167" s="520">
        <f>IF(ISERROR(Data!G67/Data!F67-1),"",Data!G67/Data!F67-1)</f>
        <v>0.18627594118260515</v>
      </c>
      <c r="G167" s="520">
        <f>IF(ISERROR((Data!G67/Data!B67)^(1/5)-1),"",(Data!G67/Data!B67)^(1/5)-1)</f>
        <v>0.12728176865016527</v>
      </c>
    </row>
    <row r="168" spans="1:23" ht="12.75" customHeight="1">
      <c r="A168" s="81" t="str">
        <f>Data!A68</f>
        <v>&lt;Store Operating Expenses&gt;</v>
      </c>
      <c r="B168" s="33">
        <f>IF(ISERROR(Data!C68/Data!B68-1),"",Data!C68/Data!B68-1)</f>
        <v>3.2015543166075355E-2</v>
      </c>
      <c r="C168" s="33">
        <f>IF(ISERROR(Data!D68/Data!C68-1),"",Data!D68/Data!C68-1)</f>
        <v>6.902949442034334E-2</v>
      </c>
      <c r="D168" s="33">
        <f>IF(ISERROR(Data!E68/Data!D68-1),"",Data!E68/Data!D68-1)</f>
        <v>9.3923074959802122E-2</v>
      </c>
      <c r="E168" s="33">
        <f>IF(ISERROR(Data!F68/Data!E68-1),"",Data!F68/Data!E68-1)</f>
        <v>8.2149273232075659E-2</v>
      </c>
      <c r="F168" s="33">
        <f>IF(ISERROR(Data!G68/Data!F68-1),"",Data!G68/Data!F68-1)</f>
        <v>0.16663791988271326</v>
      </c>
      <c r="G168" s="33">
        <f>IF(ISERROR((Data!G68/Data!B68)^(1/5)-1),"",(Data!G68/Data!B68)^(1/5)-1)</f>
        <v>8.7870484627926571E-2</v>
      </c>
      <c r="H168" s="48"/>
      <c r="I168" s="48"/>
      <c r="J168" s="48"/>
      <c r="K168" s="48"/>
      <c r="L168" s="48"/>
      <c r="M168" s="48"/>
      <c r="N168" s="48"/>
      <c r="O168" s="48"/>
      <c r="P168" s="48"/>
      <c r="Q168" s="48"/>
      <c r="R168" s="48"/>
      <c r="S168" s="48"/>
      <c r="T168" s="48"/>
      <c r="U168" s="48"/>
      <c r="V168" s="48"/>
      <c r="W168" s="48"/>
    </row>
    <row r="169" spans="1:23" ht="12.75" customHeight="1">
      <c r="A169" s="81" t="str">
        <f>Data!A69</f>
        <v>&lt;Other Operating Expenses&gt;</v>
      </c>
      <c r="B169" s="33">
        <f>IF(ISERROR(Data!C69/Data!B69-1),"",Data!C69/Data!B69-1)</f>
        <v>0.37107776261937242</v>
      </c>
      <c r="C169" s="33">
        <f>IF(ISERROR(Data!D69/Data!C69-1),"",Data!D69/Data!C69-1)</f>
        <v>6.9402985074626722E-2</v>
      </c>
      <c r="D169" s="33">
        <f>IF(ISERROR(Data!E69/Data!D69-1),"",Data!E69/Data!D69-1)</f>
        <v>4.419632472668189E-3</v>
      </c>
      <c r="E169" s="33">
        <f>IF(ISERROR(Data!F69/Data!E69-1),"",Data!F69/Data!E69-1)</f>
        <v>5.9055118110236116E-2</v>
      </c>
      <c r="F169" s="33">
        <f>IF(ISERROR(Data!G69/Data!F69-1),"",Data!G69/Data!F69-1)</f>
        <v>0.14235731467308099</v>
      </c>
      <c r="G169" s="33">
        <f>IF(ISERROR((Data!G69/Data!B69)^(1/5)-1),"",(Data!G69/Data!B69)^(1/5)-1)</f>
        <v>0.12245216114217294</v>
      </c>
      <c r="H169" s="48"/>
      <c r="I169" s="48"/>
      <c r="J169" s="48"/>
      <c r="K169" s="48"/>
      <c r="L169" s="48"/>
      <c r="M169" s="48"/>
      <c r="N169" s="48"/>
      <c r="O169" s="48"/>
      <c r="P169" s="48"/>
      <c r="Q169" s="48"/>
      <c r="R169" s="48"/>
      <c r="S169" s="48"/>
      <c r="T169" s="48"/>
      <c r="U169" s="48"/>
      <c r="V169" s="48"/>
      <c r="W169" s="48"/>
    </row>
    <row r="170" spans="1:23" ht="12.75" customHeight="1">
      <c r="A170" s="81" t="str">
        <f>Data!A70</f>
        <v>&lt;Depreciation and Amortization&gt;</v>
      </c>
      <c r="B170" s="33">
        <f>IF(ISERROR(Data!C70/Data!B70-1),"",Data!C70/Data!B70-1)</f>
        <v>2.5274294670846409E-2</v>
      </c>
      <c r="C170" s="33">
        <f>IF(ISERROR(Data!D70/Data!C70-1),"",Data!D70/Data!C70-1)</f>
        <v>5.1595643034588301E-2</v>
      </c>
      <c r="D170" s="33">
        <f>IF(ISERROR(Data!E70/Data!D70-1),"",Data!E70/Data!D70-1)</f>
        <v>0.12920225331637303</v>
      </c>
      <c r="E170" s="33">
        <f>IF(ISERROR(Data!F70/Data!E70-1),"",Data!F70/Data!E70-1)</f>
        <v>0.1419375603476023</v>
      </c>
      <c r="F170" s="33">
        <f>IF(ISERROR(Data!G70/Data!F70-1),"",Data!G70/Data!F70-1)</f>
        <v>0.25972378804960528</v>
      </c>
      <c r="G170" s="33">
        <f>IF(ISERROR((Data!G70/Data!B70)^(1/5)-1),"",(Data!G70/Data!B70)^(1/5)-1)</f>
        <v>0.11860216181660888</v>
      </c>
      <c r="H170" s="48"/>
      <c r="I170" s="48"/>
      <c r="J170" s="48"/>
      <c r="K170" s="48"/>
      <c r="L170" s="48"/>
      <c r="M170" s="48"/>
      <c r="N170" s="48"/>
      <c r="O170" s="48"/>
      <c r="P170" s="48"/>
      <c r="Q170" s="48"/>
      <c r="R170" s="48"/>
      <c r="S170" s="48"/>
      <c r="T170" s="48"/>
      <c r="U170" s="48"/>
      <c r="V170" s="48"/>
      <c r="W170" s="48"/>
    </row>
    <row r="171" spans="1:23" ht="12.75" customHeight="1">
      <c r="A171" s="81" t="str">
        <f>Data!A71</f>
        <v>&lt;General and Administrative Expenses&gt;</v>
      </c>
      <c r="B171" s="33">
        <f>IF(ISERROR(Data!C71/Data!B71-1),"",Data!C71/Data!B71-1)</f>
        <v>0.11694468832309046</v>
      </c>
      <c r="C171" s="33">
        <f>IF(ISERROR(Data!D71/Data!C71-1),"",Data!D71/Data!C71-1)</f>
        <v>0.25955038515956619</v>
      </c>
      <c r="D171" s="33">
        <f>IF(ISERROR(Data!E71/Data!D71-1),"",Data!E71/Data!D71-1)</f>
        <v>0.17061907139291055</v>
      </c>
      <c r="E171" s="33">
        <f>IF(ISERROR(Data!F71/Data!E71-1),"",Data!F71/Data!E71-1)</f>
        <v>5.6935707431495786E-2</v>
      </c>
      <c r="F171" s="33">
        <f>IF(ISERROR(Data!G71/Data!F71-1),"",Data!G71/Data!F71-1)</f>
        <v>0.20720266316957536</v>
      </c>
      <c r="G171" s="33">
        <f>IF(ISERROR((Data!G71/Data!B71)^(1/5)-1),"",(Data!G71/Data!B71)^(1/5)-1)</f>
        <v>0.1601077084715723</v>
      </c>
    </row>
    <row r="172" spans="1:23" ht="12.75" customHeight="1">
      <c r="A172" s="81" t="str">
        <f>Data!A72</f>
        <v>Other operating expenses (1)</v>
      </c>
      <c r="B172" s="33" t="str">
        <f>IF(ISERROR(Data!C72/Data!B72-1),"",Data!C72/Data!B72-1)</f>
        <v/>
      </c>
      <c r="C172" s="33" t="str">
        <f>IF(ISERROR(Data!D72/Data!C72-1),"",Data!D72/Data!C72-1)</f>
        <v/>
      </c>
      <c r="D172" s="33" t="str">
        <f>IF(ISERROR(Data!E72/Data!D72-1),"",Data!E72/Data!D72-1)</f>
        <v/>
      </c>
      <c r="E172" s="33" t="str">
        <f>IF(ISERROR(Data!F72/Data!E72-1),"",Data!F72/Data!E72-1)</f>
        <v/>
      </c>
      <c r="F172" s="33" t="str">
        <f>IF(ISERROR(Data!G72/Data!F72-1),"",Data!G72/Data!F72-1)</f>
        <v/>
      </c>
      <c r="G172" s="33" t="str">
        <f>IF(ISERROR((Data!G72/Data!B72)^(1/5)-1),"",(Data!G72/Data!B72)^(1/5)-1)</f>
        <v/>
      </c>
      <c r="H172" s="48"/>
      <c r="I172" s="48"/>
      <c r="J172" s="48"/>
      <c r="K172" s="48"/>
      <c r="L172" s="48"/>
      <c r="M172" s="48"/>
      <c r="N172" s="48"/>
      <c r="O172" s="48"/>
      <c r="P172" s="48"/>
      <c r="Q172" s="48"/>
      <c r="R172" s="48"/>
      <c r="S172" s="48"/>
      <c r="T172" s="48"/>
      <c r="U172" s="48"/>
      <c r="V172" s="48"/>
      <c r="W172" s="48"/>
    </row>
    <row r="173" spans="1:23" ht="12.75" customHeight="1">
      <c r="A173" s="81" t="str">
        <f>Data!A73</f>
        <v>Other operating expenses (2)</v>
      </c>
      <c r="B173" s="33" t="str">
        <f>IF(ISERROR(Data!C73/Data!B73-1),"",Data!C73/Data!B73-1)</f>
        <v/>
      </c>
      <c r="C173" s="33" t="str">
        <f>IF(ISERROR(Data!D73/Data!C73-1),"",Data!D73/Data!C73-1)</f>
        <v/>
      </c>
      <c r="D173" s="33" t="str">
        <f>IF(ISERROR(Data!E73/Data!D73-1),"",Data!E73/Data!D73-1)</f>
        <v/>
      </c>
      <c r="E173" s="33" t="str">
        <f>IF(ISERROR(Data!F73/Data!E73-1),"",Data!F73/Data!E73-1)</f>
        <v/>
      </c>
      <c r="F173" s="33" t="str">
        <f>IF(ISERROR(Data!G73/Data!F73-1),"",Data!G73/Data!F73-1)</f>
        <v/>
      </c>
      <c r="G173" s="33" t="str">
        <f>IF(ISERROR((Data!G73/Data!B73)^(1/5)-1),"",(Data!G73/Data!B73)^(1/5)-1)</f>
        <v/>
      </c>
      <c r="H173" s="48"/>
      <c r="I173" s="48"/>
      <c r="J173" s="48"/>
      <c r="K173" s="48"/>
      <c r="L173" s="48"/>
      <c r="M173" s="48"/>
      <c r="N173" s="48"/>
      <c r="O173" s="48"/>
      <c r="P173" s="48"/>
      <c r="Q173" s="48"/>
      <c r="R173" s="48"/>
      <c r="S173" s="48"/>
      <c r="T173" s="48"/>
      <c r="U173" s="48"/>
      <c r="V173" s="48"/>
      <c r="W173" s="48"/>
    </row>
    <row r="174" spans="1:23" ht="12.75" customHeight="1">
      <c r="A174" s="81" t="str">
        <f>Data!A74</f>
        <v>Income from Equity Investees</v>
      </c>
      <c r="B174" s="33">
        <f>IF(ISERROR(Data!C74/Data!B74-1),"",Data!C74/Data!B74-1)</f>
        <v>0.17285617825793387</v>
      </c>
      <c r="C174" s="33">
        <f>IF(ISERROR(Data!D74/Data!C74-1),"",Data!D74/Data!C74-1)</f>
        <v>0.21301093839953955</v>
      </c>
      <c r="D174" s="33">
        <f>IF(ISERROR(Data!E74/Data!D74-1),"",Data!E74/Data!D74-1)</f>
        <v>0.19316563834836264</v>
      </c>
      <c r="E174" s="33">
        <f>IF(ISERROR(Data!F74/Data!E74-1),"",Data!F74/Data!E74-1)</f>
        <v>6.722354813046949E-2</v>
      </c>
      <c r="F174" s="33">
        <f>IF(ISERROR(Data!G74/Data!F74-1),"",Data!G74/Data!F74-1)</f>
        <v>-6.8579947819604969E-2</v>
      </c>
      <c r="G174" s="33">
        <f>IF(ISERROR((Data!G74/Data!B74)^(1/5)-1),"",(Data!G74/Data!B74)^(1/5)-1)</f>
        <v>0.11030485672412893</v>
      </c>
    </row>
    <row r="175" spans="1:23" ht="12.75" customHeight="1">
      <c r="A175" s="81" t="str">
        <f>Data!A75</f>
        <v>Non-recurring operating gains &lt;losses&gt;</v>
      </c>
      <c r="B175" s="33">
        <f>IF(ISERROR(Data!C75/Data!B75-1),"",Data!C75/Data!B75-1)</f>
        <v>-1.5698113207547171</v>
      </c>
      <c r="C175" s="33">
        <f>IF(ISERROR(Data!D75/Data!C75-1),"",Data!D75/Data!C75-1)</f>
        <v>-1</v>
      </c>
      <c r="D175" s="33" t="str">
        <f>IF(ISERROR(Data!E75/Data!D75-1),"",Data!E75/Data!D75-1)</f>
        <v/>
      </c>
      <c r="E175" s="33">
        <f>IF(ISERROR(Data!F75/Data!E75-1),"",Data!F75/Data!E75-1)</f>
        <v>-1.007255486512697</v>
      </c>
      <c r="F175" s="33">
        <f>IF(ISERROR(Data!G75/Data!F75-1),"",Data!G75/Data!F75-1)</f>
        <v>-1</v>
      </c>
      <c r="G175" s="33">
        <f>IF(ISERROR((Data!G75/Data!B75)^(1/5)-1),"",(Data!G75/Data!B75)^(1/5)-1)</f>
        <v>-1</v>
      </c>
      <c r="H175" s="48"/>
      <c r="I175" s="48"/>
      <c r="J175" s="48"/>
      <c r="K175" s="48"/>
      <c r="L175" s="48"/>
      <c r="M175" s="48"/>
      <c r="N175" s="48"/>
      <c r="O175" s="48"/>
      <c r="P175" s="48"/>
      <c r="Q175" s="48"/>
      <c r="R175" s="48"/>
      <c r="S175" s="48"/>
      <c r="T175" s="48"/>
      <c r="U175" s="48"/>
      <c r="V175" s="48"/>
      <c r="W175" s="48"/>
    </row>
    <row r="176" spans="1:23" ht="12.75" customHeight="1">
      <c r="A176" s="517" t="str">
        <f>Data!A76</f>
        <v xml:space="preserve">  Operating Profit</v>
      </c>
      <c r="B176" s="520">
        <f>IF(ISERROR(Data!C76/Data!B76-1),"",Data!C76/Data!B76-1)</f>
        <v>0.21776807101592288</v>
      </c>
      <c r="C176" s="520">
        <f>IF(ISERROR(Data!D76/Data!C76-1),"",Data!D76/Data!C76-1)</f>
        <v>0.15556841191784754</v>
      </c>
      <c r="D176" s="520">
        <f>IF(ISERROR(Data!E76/Data!D76-1),"",Data!E76/Data!D76-1)</f>
        <v>-1.1629117853209174</v>
      </c>
      <c r="E176" s="520">
        <f>IF(ISERROR(Data!F76/Data!E76-1),"",Data!F76/Data!E76-1)</f>
        <v>-10.468653964351553</v>
      </c>
      <c r="F176" s="520">
        <f>IF(ISERROR(Data!G76/Data!F76-1),"",Data!G76/Data!F76-1)</f>
        <v>0.16873843757099771</v>
      </c>
      <c r="G176" s="520">
        <f>IF(ISERROR((Data!G76/Data!B76)^(1/5)-1),"",(Data!G76/Data!B76)^(1/5)-1)</f>
        <v>0.20465770881028988</v>
      </c>
      <c r="H176" s="48"/>
      <c r="I176" s="48"/>
      <c r="J176" s="48"/>
      <c r="K176" s="48"/>
      <c r="L176" s="48"/>
      <c r="M176" s="48"/>
      <c r="N176" s="48"/>
      <c r="O176" s="48"/>
      <c r="P176" s="48"/>
      <c r="Q176" s="48"/>
      <c r="R176" s="48"/>
      <c r="S176" s="48"/>
      <c r="T176" s="48"/>
      <c r="U176" s="48"/>
      <c r="V176" s="48"/>
      <c r="W176" s="48"/>
    </row>
    <row r="177" spans="1:23" ht="12.75" customHeight="1">
      <c r="A177" s="81" t="str">
        <f>Data!A77</f>
        <v>Interest income</v>
      </c>
      <c r="B177" s="33">
        <f>IF(ISERROR(Data!C77/Data!B77-1),"",Data!C77/Data!B77-1)</f>
        <v>1.304174950298211</v>
      </c>
      <c r="C177" s="33">
        <f>IF(ISERROR(Data!D77/Data!C77-1),"",Data!D77/Data!C77-1)</f>
        <v>-0.18550474547023299</v>
      </c>
      <c r="D177" s="33">
        <f>IF(ISERROR(Data!E77/Data!D77-1),"",Data!E77/Data!D77-1)</f>
        <v>0.30932203389830493</v>
      </c>
      <c r="E177" s="33">
        <f>IF(ISERROR(Data!F77/Data!E77-1),"",Data!F77/Data!E77-1)</f>
        <v>0.15453074433656955</v>
      </c>
      <c r="F177" s="33">
        <f>IF(ISERROR(Data!G77/Data!F77-1),"",Data!G77/Data!F77-1)</f>
        <v>-0.69866853538892781</v>
      </c>
      <c r="G177" s="33">
        <f>IF(ISERROR((Data!G77/Data!B77)^(1/5)-1),"",(Data!G77/Data!B77)^(1/5)-1)</f>
        <v>-3.0874336962643634E-2</v>
      </c>
    </row>
    <row r="178" spans="1:23" ht="12.75" customHeight="1">
      <c r="A178" s="81" t="str">
        <f>Data!A78</f>
        <v>&lt;Interest expense&gt;</v>
      </c>
      <c r="B178" s="33">
        <f>IF(ISERROR(Data!C78/Data!B78-1),"",Data!C78/Data!B78-1)</f>
        <v>1.8348623853210899E-2</v>
      </c>
      <c r="C178" s="33">
        <f>IF(ISERROR(Data!D78/Data!C78-1),"",Data!D78/Data!C78-1)</f>
        <v>-1.8018018018017834E-2</v>
      </c>
      <c r="D178" s="33">
        <f>IF(ISERROR(Data!E78/Data!D78-1),"",Data!E78/Data!D78-1)</f>
        <v>-0.14067278287461782</v>
      </c>
      <c r="E178" s="33">
        <f>IF(ISERROR(Data!F78/Data!E78-1),"",Data!F78/Data!E78-1)</f>
        <v>1.2811387900355871</v>
      </c>
      <c r="F178" s="33">
        <f>IF(ISERROR(Data!G78/Data!F78-1),"",Data!G78/Data!F78-1)</f>
        <v>9.9843993759750393E-2</v>
      </c>
      <c r="G178" s="33">
        <f>IF(ISERROR((Data!G78/Data!B78)^(1/5)-1),"",(Data!G78/Data!B78)^(1/5)-1)</f>
        <v>0.16607980196891359</v>
      </c>
      <c r="H178" s="48"/>
      <c r="I178" s="48"/>
      <c r="J178" s="48"/>
      <c r="K178" s="48"/>
      <c r="L178" s="48"/>
      <c r="M178" s="48"/>
      <c r="N178" s="48"/>
      <c r="O178" s="48"/>
      <c r="P178" s="48"/>
      <c r="Q178" s="48"/>
      <c r="R178" s="48"/>
      <c r="S178" s="48"/>
      <c r="T178" s="48"/>
      <c r="U178" s="48"/>
      <c r="V178" s="48"/>
      <c r="W178" s="48"/>
    </row>
    <row r="179" spans="1:23" ht="12.75" customHeight="1">
      <c r="A179" s="81" t="str">
        <f>Data!A79</f>
        <v>Income &lt;Loss&gt; from equity affiliates</v>
      </c>
      <c r="B179" s="33" t="str">
        <f>IF(ISERROR(Data!C79/Data!B79-1),"",Data!C79/Data!B79-1)</f>
        <v/>
      </c>
      <c r="C179" s="33" t="str">
        <f>IF(ISERROR(Data!D79/Data!C79-1),"",Data!D79/Data!C79-1)</f>
        <v/>
      </c>
      <c r="D179" s="33" t="str">
        <f>IF(ISERROR(Data!E79/Data!D79-1),"",Data!E79/Data!D79-1)</f>
        <v/>
      </c>
      <c r="E179" s="33" t="str">
        <f>IF(ISERROR(Data!F79/Data!E79-1),"",Data!F79/Data!E79-1)</f>
        <v/>
      </c>
      <c r="F179" s="33" t="str">
        <f>IF(ISERROR(Data!G79/Data!F79-1),"",Data!G79/Data!F79-1)</f>
        <v/>
      </c>
      <c r="G179" s="33" t="str">
        <f>IF(ISERROR((Data!G79/Data!B79)^(1/5)-1),"",(Data!G79/Data!B79)^(1/5)-1)</f>
        <v/>
      </c>
      <c r="H179" s="48"/>
      <c r="I179" s="48"/>
      <c r="J179" s="48"/>
      <c r="K179" s="48"/>
      <c r="L179" s="48"/>
      <c r="M179" s="48"/>
      <c r="N179" s="48"/>
      <c r="O179" s="48"/>
      <c r="P179" s="48"/>
      <c r="Q179" s="48"/>
      <c r="R179" s="48"/>
      <c r="S179" s="48"/>
      <c r="T179" s="48"/>
      <c r="U179" s="48"/>
      <c r="V179" s="48"/>
      <c r="W179" s="48"/>
    </row>
    <row r="180" spans="1:23" ht="12.75" customHeight="1">
      <c r="A180" s="81" t="str">
        <f>Data!A80</f>
        <v>Other income or gains &lt;Other expenses or losses&gt;</v>
      </c>
      <c r="B180" s="33" t="str">
        <f>IF(ISERROR(Data!C80/Data!B80-1),"",Data!C80/Data!B80-1)</f>
        <v/>
      </c>
      <c r="C180" s="33" t="str">
        <f>IF(ISERROR(Data!D80/Data!C80-1),"",Data!D80/Data!C80-1)</f>
        <v/>
      </c>
      <c r="D180" s="33" t="str">
        <f>IF(ISERROR(Data!E80/Data!D80-1),"",Data!E80/Data!D80-1)</f>
        <v/>
      </c>
      <c r="E180" s="33" t="str">
        <f>IF(ISERROR(Data!F80/Data!E80-1),"",Data!F80/Data!E80-1)</f>
        <v/>
      </c>
      <c r="F180" s="33" t="str">
        <f>IF(ISERROR(Data!G80/Data!F80-1),"",Data!G80/Data!F80-1)</f>
        <v/>
      </c>
      <c r="G180" s="33" t="str">
        <f>IF(ISERROR((Data!G80/Data!B80)^(1/5)-1),"",(Data!G80/Data!B80)^(1/5)-1)</f>
        <v/>
      </c>
      <c r="H180" s="48"/>
      <c r="I180" s="48"/>
      <c r="J180" s="48"/>
      <c r="K180" s="48"/>
      <c r="L180" s="48"/>
      <c r="M180" s="48"/>
      <c r="N180" s="48"/>
      <c r="O180" s="48"/>
      <c r="P180" s="48"/>
      <c r="Q180" s="48"/>
      <c r="R180" s="48"/>
      <c r="S180" s="48"/>
      <c r="T180" s="48"/>
      <c r="U180" s="48"/>
      <c r="V180" s="48"/>
      <c r="W180" s="48"/>
    </row>
    <row r="181" spans="1:23" ht="12.75" customHeight="1">
      <c r="A181" s="517" t="str">
        <f>Data!A81</f>
        <v xml:space="preserve">  Income before Tax</v>
      </c>
      <c r="B181" s="520">
        <f>IF(ISERROR(Data!C81/Data!B81-1),"",Data!C81/Data!B81-1)</f>
        <v>0.26033402922755822</v>
      </c>
      <c r="C181" s="520">
        <f>IF(ISERROR(Data!D81/Data!C81-1),"",Data!D81/Data!C81-1)</f>
        <v>0.13693335541935836</v>
      </c>
      <c r="D181" s="520">
        <f>IF(ISERROR(Data!E81/Data!D81-1),"",Data!E81/Data!D81-1)</f>
        <v>-1.1116507211888691</v>
      </c>
      <c r="E181" s="520">
        <f>IF(ISERROR(Data!F81/Data!E81-1),"",Data!F81/Data!E81-1)</f>
        <v>-14.743801652892531</v>
      </c>
      <c r="F181" s="520">
        <f>IF(ISERROR(Data!G81/Data!F81-1),"",Data!G81/Data!F81-1)</f>
        <v>0.23524385226445577</v>
      </c>
      <c r="G181" s="520">
        <f>IF(ISERROR((Data!G81/Data!B81)^(1/5)-1),"",(Data!G81/Data!B81)^(1/5)-1)</f>
        <v>0.22120438941801224</v>
      </c>
      <c r="H181" s="48"/>
      <c r="I181" s="48"/>
      <c r="J181" s="48"/>
      <c r="K181" s="48"/>
      <c r="L181" s="48"/>
      <c r="M181" s="48"/>
      <c r="N181" s="48"/>
      <c r="O181" s="48"/>
      <c r="P181" s="48"/>
      <c r="Q181" s="48"/>
      <c r="R181" s="48"/>
      <c r="S181" s="48"/>
      <c r="T181" s="48"/>
      <c r="U181" s="48"/>
      <c r="V181" s="48"/>
      <c r="W181" s="48"/>
    </row>
    <row r="182" spans="1:23" ht="12.75" customHeight="1">
      <c r="A182" s="81" t="str">
        <f>Data!A82</f>
        <v>&lt;Income tax expense&gt;</v>
      </c>
      <c r="B182" s="33">
        <f>IF(ISERROR(Data!C82/Data!B82-1),"",Data!C82/Data!B82-1)</f>
        <v>0.15224063842848379</v>
      </c>
      <c r="C182" s="33">
        <f>IF(ISERROR(Data!D82/Data!C82-1),"",Data!D82/Data!C82-1)</f>
        <v>0.19765583377730422</v>
      </c>
      <c r="D182" s="33">
        <f>IF(ISERROR(Data!E82/Data!D82-1),"",Data!E82/Data!D82-1)</f>
        <v>-1.3539442467378411</v>
      </c>
      <c r="E182" s="33">
        <f>IF(ISERROR(Data!F82/Data!E82-1),"",Data!F82/Data!E82-1)</f>
        <v>-5.5747800586510268</v>
      </c>
      <c r="F182" s="33">
        <f>IF(ISERROR(Data!G82/Data!F82-1),"",Data!G82/Data!F82-1)</f>
        <v>4.7344322344322398E-2</v>
      </c>
      <c r="G182" s="33">
        <f>IF(ISERROR((Data!G82/Data!B82)^(1/5)-1),"",(Data!G82/Data!B82)^(1/5)-1)</f>
        <v>0.18537006752318508</v>
      </c>
      <c r="H182" s="48"/>
      <c r="I182" s="48"/>
      <c r="J182" s="48"/>
      <c r="K182" s="48"/>
      <c r="L182" s="48"/>
      <c r="M182" s="48"/>
      <c r="N182" s="48"/>
      <c r="O182" s="48"/>
      <c r="P182" s="48"/>
      <c r="Q182" s="48"/>
      <c r="R182" s="48"/>
      <c r="S182" s="48"/>
      <c r="T182" s="48"/>
      <c r="U182" s="48"/>
      <c r="V182" s="48"/>
      <c r="W182" s="48"/>
    </row>
    <row r="183" spans="1:23" ht="12.75" customHeight="1">
      <c r="A183" s="81" t="str">
        <f>Data!A83</f>
        <v>Income &lt;Loss&gt; from discontinued operations</v>
      </c>
      <c r="B183" s="33" t="str">
        <f>IF(ISERROR(Data!C83/Data!B83-1),"",Data!C83/Data!B83-1)</f>
        <v/>
      </c>
      <c r="C183" s="33" t="str">
        <f>IF(ISERROR(Data!D83/Data!C83-1),"",Data!D83/Data!C83-1)</f>
        <v/>
      </c>
      <c r="D183" s="33" t="str">
        <f>IF(ISERROR(Data!E83/Data!D83-1),"",Data!E83/Data!D83-1)</f>
        <v/>
      </c>
      <c r="E183" s="33" t="str">
        <f>IF(ISERROR(Data!F83/Data!E83-1),"",Data!F83/Data!E83-1)</f>
        <v/>
      </c>
      <c r="F183" s="33" t="str">
        <f>IF(ISERROR(Data!G83/Data!F83-1),"",Data!G83/Data!F83-1)</f>
        <v/>
      </c>
      <c r="G183" s="33" t="str">
        <f>IF(ISERROR((Data!G83/Data!B83)^(1/5)-1),"",(Data!G83/Data!B83)^(1/5)-1)</f>
        <v/>
      </c>
      <c r="H183" s="48"/>
      <c r="I183" s="48"/>
      <c r="J183" s="48"/>
      <c r="K183" s="48"/>
      <c r="L183" s="48"/>
      <c r="M183" s="48"/>
      <c r="N183" s="48"/>
      <c r="O183" s="48"/>
      <c r="P183" s="48"/>
      <c r="Q183" s="48"/>
      <c r="R183" s="48"/>
      <c r="S183" s="48"/>
      <c r="T183" s="48"/>
      <c r="U183" s="48"/>
      <c r="V183" s="48"/>
      <c r="W183" s="48"/>
    </row>
    <row r="184" spans="1:23" ht="12.75" customHeight="1">
      <c r="A184" s="81" t="str">
        <f>Data!A84</f>
        <v>Extraordinary gains &lt;losses&gt;</v>
      </c>
      <c r="B184" s="33" t="str">
        <f>IF(ISERROR(Data!C84/Data!B84-1),"",Data!C84/Data!B84-1)</f>
        <v/>
      </c>
      <c r="C184" s="33" t="str">
        <f>IF(ISERROR(Data!D84/Data!C84-1),"",Data!D84/Data!C84-1)</f>
        <v/>
      </c>
      <c r="D184" s="33" t="str">
        <f>IF(ISERROR(Data!E84/Data!D84-1),"",Data!E84/Data!D84-1)</f>
        <v/>
      </c>
      <c r="E184" s="33" t="str">
        <f>IF(ISERROR(Data!F84/Data!E84-1),"",Data!F84/Data!E84-1)</f>
        <v/>
      </c>
      <c r="F184" s="33" t="str">
        <f>IF(ISERROR(Data!G84/Data!F84-1),"",Data!G84/Data!F84-1)</f>
        <v/>
      </c>
      <c r="G184" s="33" t="str">
        <f>IF(ISERROR((Data!G84/Data!B84)^(1/5)-1),"",(Data!G84/Data!B84)^(1/5)-1)</f>
        <v/>
      </c>
      <c r="H184" s="48"/>
      <c r="I184" s="48"/>
      <c r="J184" s="48"/>
      <c r="K184" s="48"/>
      <c r="L184" s="48"/>
      <c r="M184" s="48"/>
      <c r="N184" s="48"/>
      <c r="O184" s="48"/>
      <c r="P184" s="48"/>
      <c r="Q184" s="48"/>
      <c r="R184" s="48"/>
      <c r="S184" s="48"/>
      <c r="T184" s="48"/>
      <c r="U184" s="48"/>
      <c r="V184" s="48"/>
      <c r="W184" s="48"/>
    </row>
    <row r="185" spans="1:23" ht="12.75" customHeight="1">
      <c r="A185" s="81" t="str">
        <f>Data!A85</f>
        <v>Changes in accounting principles</v>
      </c>
      <c r="B185" s="33" t="str">
        <f>IF(ISERROR(Data!C85/Data!B85-1),"",Data!C85/Data!B85-1)</f>
        <v/>
      </c>
      <c r="C185" s="33" t="str">
        <f>IF(ISERROR(Data!D85/Data!C85-1),"",Data!D85/Data!C85-1)</f>
        <v/>
      </c>
      <c r="D185" s="33" t="str">
        <f>IF(ISERROR(Data!E85/Data!D85-1),"",Data!E85/Data!D85-1)</f>
        <v/>
      </c>
      <c r="E185" s="33" t="str">
        <f>IF(ISERROR(Data!F85/Data!E85-1),"",Data!F85/Data!E85-1)</f>
        <v/>
      </c>
      <c r="F185" s="33" t="str">
        <f>IF(ISERROR(Data!G85/Data!F85-1),"",Data!G85/Data!F85-1)</f>
        <v/>
      </c>
      <c r="G185" s="33" t="str">
        <f>IF(ISERROR((Data!G85/Data!B85)^(1/5)-1),"",(Data!G85/Data!B85)^(1/5)-1)</f>
        <v/>
      </c>
      <c r="H185" s="48"/>
      <c r="I185" s="48"/>
      <c r="J185" s="48"/>
      <c r="K185" s="48"/>
      <c r="L185" s="48"/>
      <c r="M185" s="48"/>
      <c r="N185" s="48"/>
      <c r="O185" s="48"/>
      <c r="P185" s="48"/>
      <c r="Q185" s="48"/>
      <c r="R185" s="48"/>
      <c r="S185" s="48"/>
      <c r="T185" s="48"/>
      <c r="U185" s="48"/>
      <c r="V185" s="48"/>
      <c r="W185" s="48"/>
    </row>
    <row r="186" spans="1:23" ht="12.75" customHeight="1">
      <c r="A186" s="517" t="str">
        <f>Data!A86</f>
        <v xml:space="preserve">  Net Income </v>
      </c>
      <c r="B186" s="520">
        <f>IF(ISERROR(Data!C86/Data!B86-1),"",Data!C86/Data!B86-1)</f>
        <v>0.31603922809237717</v>
      </c>
      <c r="C186" s="520">
        <f>IF(ISERROR(Data!D86/Data!C86-1),"",Data!D86/Data!C86-1)</f>
        <v>0.1095352564102563</v>
      </c>
      <c r="D186" s="520">
        <f>IF(ISERROR(Data!E86/Data!D86-1),"",Data!E86/Data!D86-1)</f>
        <v>-0.99364483281577276</v>
      </c>
      <c r="E186" s="520">
        <f>IF(ISERROR(Data!F86/Data!E86-1),"",Data!F86/Data!E86-1)</f>
        <v>233.96590909092399</v>
      </c>
      <c r="F186" s="520">
        <f>IF(ISERROR(Data!G86/Data!F86-1),"",Data!G86/Data!F86-1)</f>
        <v>0.33447792232915829</v>
      </c>
      <c r="G186" s="520">
        <f>IF(ISERROR((Data!G86/Data!B86)^(1/5)-1),"",(Data!G86/Data!B86)^(1/5)-1)</f>
        <v>0.23814250798187531</v>
      </c>
    </row>
    <row r="187" spans="1:23" ht="12.75" customHeight="1">
      <c r="A187" s="498" t="str">
        <f>Data!A87</f>
        <v>Net income attributable to noncontrolling interests</v>
      </c>
      <c r="B187" s="519">
        <f>IF(ISERROR(Data!C87/Data!B87-1),"",Data!C87/Data!B87-1)</f>
        <v>-0.14814814814814825</v>
      </c>
      <c r="C187" s="519">
        <f>IF(ISERROR(Data!D87/Data!C87-1),"",Data!D87/Data!C87-1)</f>
        <v>-0.60869565217391308</v>
      </c>
      <c r="D187" s="519">
        <f>IF(ISERROR(Data!E87/Data!D87-1),"",Data!E87/Data!D87-1)</f>
        <v>-0.44444444444444442</v>
      </c>
      <c r="E187" s="519">
        <f>IF(ISERROR(Data!F87/Data!E87-1),"",Data!F87/Data!E87-1)</f>
        <v>-1.8</v>
      </c>
      <c r="F187" s="519">
        <f>IF(ISERROR(Data!G87/Data!F87-1),"",Data!G87/Data!F87-1)</f>
        <v>-5.7499999999999991</v>
      </c>
      <c r="G187" s="519">
        <f>IF(ISERROR((Data!G87/Data!B87)^(1/5)-1),"",(Data!G87/Data!B87)^(1/5)-1)</f>
        <v>-6.7866819867578254E-2</v>
      </c>
      <c r="H187" s="48"/>
      <c r="I187" s="48"/>
      <c r="J187" s="48"/>
      <c r="K187" s="48"/>
      <c r="L187" s="48"/>
      <c r="M187" s="48"/>
      <c r="N187" s="48"/>
      <c r="O187" s="48"/>
      <c r="P187" s="48"/>
      <c r="Q187" s="48"/>
      <c r="R187" s="48"/>
      <c r="S187" s="48"/>
      <c r="T187" s="48"/>
      <c r="U187" s="48"/>
      <c r="V187" s="48"/>
      <c r="W187" s="48"/>
    </row>
    <row r="188" spans="1:23" ht="12.75" customHeight="1">
      <c r="A188" s="517" t="str">
        <f>Data!A88</f>
        <v xml:space="preserve">  Net Income attributable to common shareholders</v>
      </c>
      <c r="B188" s="520">
        <f>IF(ISERROR(Data!C88/Data!B88-1),"",Data!C88/Data!B88-1)</f>
        <v>0.31736463620981525</v>
      </c>
      <c r="C188" s="520">
        <f>IF(ISERROR(Data!D88/Data!C88-1),"",Data!D88/Data!C88-1)</f>
        <v>0.11086136308902605</v>
      </c>
      <c r="D188" s="520">
        <f>IF(ISERROR(Data!E88/Data!D88-1),"",Data!E88/Data!D88-1)</f>
        <v>-0.99400202341378852</v>
      </c>
      <c r="E188" s="520">
        <f>IF(ISERROR(Data!F88/Data!E88-1),"",Data!F88/Data!E88-1)</f>
        <v>248.16867469881194</v>
      </c>
      <c r="F188" s="520">
        <f>IF(ISERROR(Data!G88/Data!F88-1),"",Data!G88/Data!F88-1)</f>
        <v>0.33330109762584037</v>
      </c>
      <c r="G188" s="520">
        <f>IF(ISERROR((Data!G88/Data!B88)^(1/5)-1),"",(Data!G88/Data!B88)^(1/5)-1)</f>
        <v>0.23867810646718257</v>
      </c>
      <c r="H188" s="48"/>
      <c r="I188" s="48"/>
      <c r="J188" s="48"/>
      <c r="K188" s="48"/>
      <c r="L188" s="48"/>
      <c r="M188" s="48"/>
      <c r="N188" s="48"/>
      <c r="O188" s="48"/>
      <c r="P188" s="48"/>
      <c r="Q188" s="48"/>
      <c r="R188" s="48"/>
      <c r="S188" s="48"/>
      <c r="T188" s="48"/>
      <c r="U188" s="48"/>
      <c r="V188" s="48"/>
      <c r="W188" s="48"/>
    </row>
    <row r="189" spans="1:23" ht="12.75" customHeight="1">
      <c r="A189" s="102"/>
      <c r="B189" s="111"/>
      <c r="C189" s="111"/>
      <c r="D189" s="111"/>
      <c r="E189" s="111"/>
      <c r="F189" s="111"/>
      <c r="G189" s="111"/>
      <c r="H189" s="48"/>
      <c r="I189" s="48"/>
      <c r="J189" s="48"/>
      <c r="K189" s="48"/>
      <c r="L189" s="48"/>
      <c r="M189" s="48"/>
      <c r="N189" s="48"/>
      <c r="O189" s="48"/>
      <c r="P189" s="48"/>
      <c r="Q189" s="48"/>
      <c r="R189" s="48"/>
      <c r="S189" s="48"/>
      <c r="T189" s="48"/>
      <c r="U189" s="48"/>
      <c r="V189" s="48"/>
      <c r="W189" s="48"/>
    </row>
    <row r="190" spans="1:23" ht="12.75" customHeight="1">
      <c r="A190" s="81" t="str">
        <f>Data!A91</f>
        <v>Other comprehensive income items</v>
      </c>
      <c r="B190" s="33">
        <f>IF(ISERROR(Data!C91/Data!B91-1),"",Data!C91/Data!B91-1)</f>
        <v>0.3292682926829269</v>
      </c>
      <c r="C190" s="33">
        <f>IF(ISERROR(Data!D91/Data!C91-1),"",Data!D91/Data!C91-1)</f>
        <v>1.165137614678899</v>
      </c>
      <c r="D190" s="33">
        <f>IF(ISERROR(Data!E91/Data!D91-1),"",Data!E91/Data!D91-1)</f>
        <v>-2.8559322033898304</v>
      </c>
      <c r="E190" s="33">
        <f>IF(ISERROR(Data!F91/Data!E91-1),"",Data!F91/Data!E91-1)</f>
        <v>-1.9429223744292239</v>
      </c>
      <c r="F190" s="33">
        <f>IF(ISERROR(Data!G91/Data!F91-1),"",Data!G91/Data!F91-1)</f>
        <v>3.7336561743341399</v>
      </c>
      <c r="G190" s="33">
        <f>IF(ISERROR((Data!G91/Data!B91)^(1/5)-1),"",(Data!G91/Data!B91)^(1/5)-1)</f>
        <v>0.88567386490767985</v>
      </c>
      <c r="H190" s="48"/>
      <c r="I190" s="48"/>
      <c r="J190" s="48"/>
      <c r="K190" s="48"/>
      <c r="L190" s="48"/>
      <c r="M190" s="48"/>
      <c r="N190" s="48"/>
      <c r="O190" s="48"/>
      <c r="P190" s="48"/>
      <c r="Q190" s="48"/>
      <c r="R190" s="48"/>
      <c r="S190" s="48"/>
      <c r="T190" s="48"/>
      <c r="U190" s="48"/>
      <c r="V190" s="48"/>
      <c r="W190" s="48"/>
    </row>
    <row r="191" spans="1:23" ht="12.75" customHeight="1">
      <c r="A191" s="517" t="str">
        <f>Data!A92</f>
        <v>Comprehensive Income</v>
      </c>
      <c r="B191" s="520">
        <f>IF(ISERROR(Data!C92/Data!B92-1),"",Data!C92/Data!B92-1)</f>
        <v>0.31592383788958744</v>
      </c>
      <c r="C191" s="520">
        <f>IF(ISERROR(Data!D92/Data!C92-1),"",Data!D92/Data!C92-1)</f>
        <v>0.10023441920620813</v>
      </c>
      <c r="D191" s="520">
        <f>IF(ISERROR(Data!E92/Data!D92-1),"",Data!E92/Data!D92-1)</f>
        <v>-0.96135478656968665</v>
      </c>
      <c r="E191" s="520">
        <f>IF(ISERROR(Data!F92/Data!E92-1),"",Data!F92/Data!E92-1)</f>
        <v>37.524714828897757</v>
      </c>
      <c r="F191" s="520">
        <f>IF(ISERROR(Data!G92/Data!F92-1),"",Data!G92/Data!F92-1)</f>
        <v>0.26519936833793945</v>
      </c>
      <c r="G191" s="520">
        <f>IF(ISERROR((Data!G92/Data!B92)^(1/5)-1),"",(Data!G92/Data!B92)^(1/5)-1)</f>
        <v>0.2221992647002915</v>
      </c>
      <c r="H191" s="48"/>
      <c r="I191" s="48"/>
      <c r="J191" s="48"/>
      <c r="K191" s="48"/>
      <c r="L191" s="48"/>
      <c r="M191" s="48"/>
      <c r="N191" s="48"/>
      <c r="O191" s="48"/>
      <c r="P191" s="48"/>
      <c r="Q191" s="48"/>
      <c r="R191" s="48"/>
      <c r="S191" s="48"/>
      <c r="T191" s="48"/>
      <c r="U191" s="48"/>
      <c r="V191" s="48"/>
      <c r="W191" s="48"/>
    </row>
    <row r="192" spans="1:23" ht="12.75" customHeight="1">
      <c r="A192" s="52"/>
      <c r="B192" s="120"/>
      <c r="C192" s="120"/>
      <c r="D192" s="120"/>
      <c r="E192" s="120"/>
      <c r="F192" s="120"/>
      <c r="G192" s="120"/>
      <c r="H192" s="48"/>
      <c r="I192" s="48"/>
      <c r="J192" s="48"/>
      <c r="K192" s="48"/>
      <c r="L192" s="48"/>
      <c r="M192" s="48"/>
      <c r="N192" s="48"/>
      <c r="O192" s="48"/>
      <c r="P192" s="48"/>
      <c r="Q192" s="48"/>
      <c r="R192" s="48"/>
      <c r="S192" s="48"/>
      <c r="T192" s="48"/>
      <c r="U192" s="48"/>
      <c r="V192" s="48"/>
      <c r="W192" s="48"/>
    </row>
    <row r="193" spans="1:23" ht="12.75" customHeight="1">
      <c r="A193" s="52"/>
      <c r="B193" s="120"/>
      <c r="C193" s="120"/>
      <c r="D193" s="120"/>
      <c r="E193" s="120"/>
      <c r="F193" s="120"/>
      <c r="G193" s="120"/>
      <c r="H193" s="48"/>
      <c r="I193" s="48"/>
      <c r="J193" s="48"/>
      <c r="K193" s="48"/>
      <c r="L193" s="48"/>
      <c r="M193" s="48"/>
      <c r="N193" s="48"/>
      <c r="O193" s="48"/>
      <c r="P193" s="48"/>
      <c r="Q193" s="48"/>
      <c r="R193" s="48"/>
      <c r="S193" s="48"/>
      <c r="T193" s="48"/>
      <c r="U193" s="48"/>
      <c r="V193" s="48"/>
      <c r="W193" s="48"/>
    </row>
    <row r="194" spans="1:23" ht="12.75" customHeight="1" thickBot="1">
      <c r="A194" s="121"/>
      <c r="B194" s="122"/>
      <c r="C194" s="122"/>
      <c r="D194" s="122"/>
      <c r="E194" s="122"/>
      <c r="F194" s="122"/>
      <c r="G194" s="120"/>
      <c r="H194" s="48"/>
      <c r="I194" s="48"/>
      <c r="J194" s="48"/>
      <c r="K194" s="48"/>
      <c r="L194" s="48"/>
      <c r="M194" s="48"/>
      <c r="N194" s="48"/>
      <c r="O194" s="48"/>
      <c r="P194" s="48"/>
      <c r="Q194" s="48"/>
      <c r="R194" s="48"/>
      <c r="S194" s="48"/>
      <c r="T194" s="48"/>
      <c r="U194" s="48"/>
      <c r="V194" s="48"/>
      <c r="W194" s="48"/>
    </row>
    <row r="195" spans="1:23" ht="12.75" customHeight="1" thickBot="1">
      <c r="A195" s="123" t="s">
        <v>19</v>
      </c>
      <c r="B195" s="124"/>
      <c r="C195" s="124"/>
      <c r="D195" s="124"/>
      <c r="E195" s="124"/>
      <c r="F195" s="125"/>
      <c r="G195" s="48"/>
      <c r="H195" s="48"/>
      <c r="I195" s="48"/>
      <c r="J195" s="75" t="s">
        <v>500</v>
      </c>
      <c r="K195" s="48"/>
      <c r="L195" s="48"/>
      <c r="M195" s="48"/>
      <c r="N195" s="48"/>
      <c r="O195" s="48"/>
      <c r="P195" s="48"/>
      <c r="Q195" s="48"/>
      <c r="R195" s="48"/>
      <c r="S195" s="48"/>
      <c r="T195" s="48"/>
      <c r="U195" s="48"/>
      <c r="V195" s="48"/>
      <c r="W195" s="48"/>
    </row>
    <row r="196" spans="1:23" ht="12.75" customHeight="1" thickBot="1">
      <c r="A196" s="76" t="s">
        <v>18</v>
      </c>
      <c r="B196" s="77">
        <f>Data!$C$11</f>
        <v>2011</v>
      </c>
      <c r="C196" s="77">
        <f>Data!$D$11</f>
        <v>2012</v>
      </c>
      <c r="D196" s="77">
        <f>Data!$E$11</f>
        <v>2013</v>
      </c>
      <c r="E196" s="77">
        <f>Data!$F$11</f>
        <v>2014</v>
      </c>
      <c r="F196" s="77">
        <f>Data!$G$11</f>
        <v>2015</v>
      </c>
      <c r="H196" s="48"/>
      <c r="I196" s="48"/>
      <c r="J196" s="48"/>
      <c r="K196" s="48"/>
      <c r="L196" s="48"/>
      <c r="M196" s="48"/>
      <c r="N196" s="48"/>
      <c r="O196" s="48"/>
      <c r="P196" s="48"/>
      <c r="Q196" s="48"/>
      <c r="R196" s="48"/>
      <c r="S196" s="48"/>
      <c r="T196" s="48"/>
      <c r="U196" s="48"/>
      <c r="V196" s="48"/>
      <c r="W196" s="48"/>
    </row>
    <row r="197" spans="1:23" ht="12.75" customHeight="1">
      <c r="B197" s="79"/>
      <c r="C197" s="79"/>
      <c r="D197" s="79"/>
      <c r="E197" s="79"/>
      <c r="F197" s="79"/>
      <c r="G197" s="48"/>
      <c r="H197" s="48"/>
      <c r="I197" s="48"/>
      <c r="J197" s="48"/>
      <c r="K197" s="48"/>
      <c r="L197" s="48"/>
      <c r="M197" s="48"/>
      <c r="N197" s="48"/>
      <c r="O197" s="48"/>
      <c r="P197" s="48"/>
      <c r="Q197" s="48"/>
      <c r="R197" s="48"/>
      <c r="S197" s="48"/>
      <c r="T197" s="48"/>
      <c r="U197" s="48"/>
      <c r="V197" s="48"/>
      <c r="W197" s="48"/>
    </row>
    <row r="198" spans="1:23" ht="12.75" customHeight="1">
      <c r="A198" s="31" t="str">
        <f>Data!A15</f>
        <v>Assets:</v>
      </c>
      <c r="B198" s="530"/>
      <c r="C198" s="146"/>
      <c r="D198" s="146"/>
      <c r="E198" s="146"/>
      <c r="F198" s="146"/>
      <c r="G198" s="48"/>
    </row>
    <row r="199" spans="1:23" ht="12.75" customHeight="1">
      <c r="A199" s="81" t="str">
        <f>Data!A16</f>
        <v>Cash and cash equivalents</v>
      </c>
      <c r="B199" s="126">
        <f>IF(Data!C16/Data!C$33=0,"",Data!C16/Data!C$33)</f>
        <v>0.15598337046899627</v>
      </c>
      <c r="C199" s="126">
        <f>IF(Data!D16/Data!D$33=0,"",Data!D16/Data!D$33)</f>
        <v>0.14461261436636166</v>
      </c>
      <c r="D199" s="126">
        <f>IF(Data!E16/Data!E$33=0,"",Data!E16/Data!E$33)</f>
        <v>0.22364913560308078</v>
      </c>
      <c r="E199" s="126">
        <f>IF(Data!F16/Data!F$33=0,"",Data!F16/Data!F$33)</f>
        <v>0.15887807010201904</v>
      </c>
      <c r="F199" s="126">
        <f>IF(Data!G16/Data!G$33=0,"",Data!G16/Data!G$33)</f>
        <v>0.12293741769556418</v>
      </c>
      <c r="G199" s="48"/>
      <c r="H199" s="48"/>
      <c r="I199" s="48"/>
      <c r="J199" s="48" t="s">
        <v>357</v>
      </c>
      <c r="K199" s="48"/>
      <c r="L199" s="48"/>
      <c r="M199" s="48"/>
      <c r="N199" s="48"/>
      <c r="O199" s="48"/>
      <c r="P199" s="48"/>
      <c r="Q199" s="48"/>
      <c r="R199" s="48"/>
      <c r="S199" s="48"/>
      <c r="T199" s="48"/>
      <c r="U199" s="48"/>
      <c r="V199" s="48"/>
      <c r="W199" s="48"/>
    </row>
    <row r="200" spans="1:23" ht="12.75" customHeight="1">
      <c r="A200" s="81" t="str">
        <f>Data!A17</f>
        <v>Short-term investments</v>
      </c>
      <c r="B200" s="126">
        <f>IF(Data!C17/Data!C$33=0,"",Data!C17/Data!C$33)</f>
        <v>0.12262920493451446</v>
      </c>
      <c r="C200" s="126">
        <f>IF(Data!D17/Data!D$33=0,"",Data!D17/Data!D$33)</f>
        <v>0.10322172474206734</v>
      </c>
      <c r="D200" s="126">
        <f>IF(Data!E17/Data!E$33=0,"",Data!E17/Data!E$33)</f>
        <v>5.7143105229796744E-2</v>
      </c>
      <c r="E200" s="126">
        <f>IF(Data!F17/Data!F$33=0,"",Data!F17/Data!F$33)</f>
        <v>1.2591951938546814E-2</v>
      </c>
      <c r="F200" s="126">
        <f>IF(Data!G17/Data!G$33=0,"",Data!G17/Data!G$33)</f>
        <v>6.5321299644790333E-3</v>
      </c>
      <c r="G200" s="48"/>
      <c r="H200" s="48"/>
      <c r="I200" s="48"/>
      <c r="J200" s="114"/>
      <c r="K200" s="114"/>
      <c r="L200" s="114"/>
      <c r="M200" s="114"/>
      <c r="N200" s="114"/>
      <c r="O200" s="48"/>
      <c r="P200" s="48"/>
      <c r="Q200" s="48"/>
      <c r="R200" s="48"/>
      <c r="S200" s="48"/>
      <c r="T200" s="48"/>
      <c r="U200" s="48"/>
      <c r="V200" s="48"/>
      <c r="W200" s="48"/>
    </row>
    <row r="201" spans="1:23" ht="12.75" customHeight="1">
      <c r="A201" s="81" t="str">
        <f>Data!A18</f>
        <v>Accounts and notes receivable - net</v>
      </c>
      <c r="B201" s="126">
        <f>IF(Data!C18/Data!C$33=0,"",Data!C18/Data!C$33)</f>
        <v>5.2510733112330864E-2</v>
      </c>
      <c r="C201" s="126">
        <f>IF(Data!D18/Data!D$33=0,"",Data!D18/Data!D$33)</f>
        <v>5.9117675686198162E-2</v>
      </c>
      <c r="D201" s="126">
        <f>IF(Data!E18/Data!E$33=0,"",Data!E18/Data!E$33)</f>
        <v>4.8746602759471042E-2</v>
      </c>
      <c r="E201" s="126">
        <f>IF(Data!F18/Data!F$33=0,"",Data!F18/Data!F$33)</f>
        <v>5.8681843967673848E-2</v>
      </c>
      <c r="F201" s="126">
        <f>IF(Data!G18/Data!G$33=0,"",Data!G18/Data!G$33)</f>
        <v>5.7768775454617775E-2</v>
      </c>
      <c r="H201" s="48"/>
      <c r="I201" s="48"/>
      <c r="J201" s="114"/>
      <c r="K201" s="114"/>
      <c r="L201" s="114"/>
      <c r="M201" s="114"/>
      <c r="N201" s="114"/>
      <c r="O201" s="48"/>
      <c r="P201" s="48"/>
      <c r="Q201" s="48"/>
      <c r="R201" s="48"/>
      <c r="S201" s="48"/>
      <c r="T201" s="48"/>
      <c r="U201" s="48"/>
      <c r="V201" s="48"/>
      <c r="W201" s="48"/>
    </row>
    <row r="202" spans="1:23" ht="12.75" customHeight="1">
      <c r="A202" s="81" t="str">
        <f>Data!A19</f>
        <v>Inventories</v>
      </c>
      <c r="B202" s="126">
        <f>IF(Data!C19/Data!C$33=0,"",Data!C19/Data!C$33)</f>
        <v>0.1312156947991957</v>
      </c>
      <c r="C202" s="126">
        <f>IF(Data!D19/Data!D$33=0,"",Data!D19/Data!D$33)</f>
        <v>0.15104876386996299</v>
      </c>
      <c r="D202" s="126">
        <f>IF(Data!E19/Data!E$33=0,"",Data!E19/Data!E$33)</f>
        <v>9.6485972544218424E-2</v>
      </c>
      <c r="E202" s="126">
        <f>IF(Data!F19/Data!F$33=0,"",Data!F19/Data!F$33)</f>
        <v>0.10145170140148242</v>
      </c>
      <c r="F202" s="126">
        <f>IF(Data!G19/Data!G$33=0,"",Data!G19/Data!G$33)</f>
        <v>0.10496401704299398</v>
      </c>
      <c r="G202" s="48"/>
      <c r="J202" s="127"/>
      <c r="K202" s="127"/>
      <c r="L202" s="127"/>
      <c r="M202" s="127"/>
      <c r="N202" s="127"/>
    </row>
    <row r="203" spans="1:23" ht="12.75" customHeight="1">
      <c r="A203" s="81" t="str">
        <f>Data!A20</f>
        <v>Prepaid expenses and other current assets</v>
      </c>
      <c r="B203" s="126">
        <f>IF(Data!C20/Data!C$33=0,"",Data!C20/Data!C$33)</f>
        <v>2.1941742296614317E-2</v>
      </c>
      <c r="C203" s="126">
        <f>IF(Data!D20/Data!D$33=0,"",Data!D20/Data!D$33)</f>
        <v>2.3907436246836673E-2</v>
      </c>
      <c r="D203" s="126">
        <f>IF(Data!E20/Data!E$33=0,"",Data!E20/Data!E$33)</f>
        <v>2.4981114381723936E-2</v>
      </c>
      <c r="E203" s="126">
        <f>IF(Data!F20/Data!F$33=0,"",Data!F20/Data!F$33)</f>
        <v>2.6560276762547786E-2</v>
      </c>
      <c r="F203" s="126">
        <f>IF(Data!G20/Data!G$33=0,"",Data!G20/Data!G$33)</f>
        <v>2.6851633876124145E-2</v>
      </c>
      <c r="G203" s="48"/>
      <c r="H203" s="48"/>
      <c r="I203" s="48"/>
      <c r="J203" s="108"/>
      <c r="K203" s="108"/>
      <c r="L203" s="108"/>
      <c r="M203" s="48"/>
      <c r="N203" s="48"/>
      <c r="O203" s="48"/>
      <c r="P203" s="48"/>
      <c r="Q203" s="48"/>
      <c r="R203" s="48"/>
      <c r="S203" s="48"/>
      <c r="T203" s="48"/>
      <c r="U203" s="48"/>
      <c r="V203" s="48"/>
      <c r="W203" s="48"/>
    </row>
    <row r="204" spans="1:23" ht="12.75" customHeight="1">
      <c r="A204" s="81" t="str">
        <f>Data!A21</f>
        <v>Deferred income taxes - current</v>
      </c>
      <c r="B204" s="126">
        <f>IF(Data!C21/Data!C$33=0,"",Data!C21/Data!C$33)</f>
        <v>3.1302646595293741E-2</v>
      </c>
      <c r="C204" s="126">
        <f>IF(Data!D21/Data!D$33=0,"",Data!D21/Data!D$33)</f>
        <v>2.9041755888650961E-2</v>
      </c>
      <c r="D204" s="126">
        <f>IF(Data!E21/Data!E$33=0,"",Data!E21/Data!E$33)</f>
        <v>2.4078077921626861E-2</v>
      </c>
      <c r="E204" s="126">
        <f>IF(Data!F21/Data!F$33=0,"",Data!F21/Data!F$33)</f>
        <v>2.9517618502915496E-2</v>
      </c>
      <c r="F204" s="126">
        <f>IF(Data!G21/Data!G$33=0,"",Data!G21/Data!G$33)</f>
        <v>3.0673693192363599E-2</v>
      </c>
      <c r="G204" s="48"/>
      <c r="H204" s="48"/>
      <c r="I204" s="48"/>
      <c r="J204" s="128"/>
      <c r="K204" s="128"/>
      <c r="L204" s="128"/>
      <c r="M204" s="128"/>
      <c r="N204" s="48"/>
      <c r="O204" s="48"/>
      <c r="P204" s="48"/>
      <c r="Q204" s="48"/>
      <c r="U204" s="48"/>
      <c r="V204" s="48"/>
      <c r="W204" s="48"/>
    </row>
    <row r="205" spans="1:23" ht="12.75" customHeight="1">
      <c r="A205" s="81" t="str">
        <f>Data!A22</f>
        <v>Other current assets (1)</v>
      </c>
      <c r="B205" s="126" t="str">
        <f>IF(Data!C22/Data!C$33=0,"",Data!C22/Data!C$33)</f>
        <v/>
      </c>
      <c r="C205" s="126" t="str">
        <f>IF(Data!D22/Data!D$33=0,"",Data!D22/Data!D$33)</f>
        <v/>
      </c>
      <c r="D205" s="126" t="str">
        <f>IF(Data!E22/Data!E$33=0,"",Data!E22/Data!E$33)</f>
        <v/>
      </c>
      <c r="E205" s="126" t="str">
        <f>IF(Data!F22/Data!F$33=0,"",Data!F22/Data!F$33)</f>
        <v/>
      </c>
      <c r="F205" s="126" t="str">
        <f>IF(Data!G22/Data!G$33=0,"",Data!G22/Data!G$33)</f>
        <v/>
      </c>
      <c r="G205" s="48"/>
      <c r="H205" s="48"/>
      <c r="I205" s="48"/>
      <c r="J205" s="48"/>
      <c r="K205" s="48"/>
      <c r="L205" s="48"/>
      <c r="M205" s="48"/>
      <c r="N205" s="48"/>
      <c r="O205" s="48"/>
      <c r="P205" s="48"/>
      <c r="Q205" s="48"/>
      <c r="R205" s="48"/>
      <c r="S205" s="48"/>
      <c r="T205" s="48"/>
    </row>
    <row r="206" spans="1:23" ht="12.75" customHeight="1">
      <c r="A206" s="81" t="str">
        <f>Data!A23</f>
        <v>Other current assets (2)</v>
      </c>
      <c r="B206" s="126" t="str">
        <f>IF(Data!C23/Data!C$33=0,"",Data!C23/Data!C$33)</f>
        <v/>
      </c>
      <c r="C206" s="126" t="str">
        <f>IF(Data!D23/Data!D$33=0,"",Data!D23/Data!D$33)</f>
        <v/>
      </c>
      <c r="D206" s="126" t="str">
        <f>IF(Data!E23/Data!E$33=0,"",Data!E23/Data!E$33)</f>
        <v/>
      </c>
      <c r="E206" s="126" t="str">
        <f>IF(Data!F23/Data!F$33=0,"",Data!F23/Data!F$33)</f>
        <v/>
      </c>
      <c r="F206" s="126" t="str">
        <f>IF(Data!G23/Data!G$33=0,"",Data!G23/Data!G$33)</f>
        <v/>
      </c>
      <c r="J206" s="129"/>
      <c r="K206" s="129"/>
      <c r="L206" s="129"/>
      <c r="R206" s="48"/>
      <c r="S206" s="48"/>
      <c r="T206" s="48"/>
    </row>
    <row r="207" spans="1:23" ht="12.75" customHeight="1">
      <c r="A207" s="517" t="str">
        <f>Data!A24</f>
        <v xml:space="preserve">  Current Assets</v>
      </c>
      <c r="B207" s="521">
        <f>IF(Data!C24/Data!C$33=0,"",Data!C24/Data!C$33)</f>
        <v>0.51558339220694538</v>
      </c>
      <c r="C207" s="521">
        <f>IF(Data!D24/Data!D$33=0,"",Data!D24/Data!D$33)</f>
        <v>0.51094997080007787</v>
      </c>
      <c r="D207" s="521">
        <f>IF(Data!E24/Data!E$33=0,"",Data!E24/Data!E$33)</f>
        <v>0.47508400843991777</v>
      </c>
      <c r="E207" s="521">
        <f>IF(Data!F24/Data!F$33=0,"",Data!F24/Data!F$33)</f>
        <v>0.38768146267518538</v>
      </c>
      <c r="F207" s="521">
        <f>IF(Data!G24/Data!G$33=0,"",Data!G24/Data!G$33)</f>
        <v>0.34972766722614268</v>
      </c>
      <c r="G207" s="48"/>
      <c r="H207" s="48"/>
      <c r="I207" s="48"/>
      <c r="J207" s="48"/>
      <c r="K207" s="48"/>
      <c r="L207" s="48"/>
      <c r="M207" s="48"/>
      <c r="N207" s="48"/>
      <c r="O207" s="48"/>
      <c r="P207" s="48"/>
      <c r="Q207" s="48"/>
      <c r="R207" s="48"/>
      <c r="S207" s="48"/>
      <c r="T207" s="48"/>
    </row>
    <row r="208" spans="1:23" ht="12.75" customHeight="1">
      <c r="A208" s="4" t="str">
        <f>Data!A25</f>
        <v>Long-term investments</v>
      </c>
      <c r="B208" s="126">
        <f>IF(Data!C25/Data!C$33=0,"",Data!C25/Data!C$33)</f>
        <v>1.4537253410140756E-2</v>
      </c>
      <c r="C208" s="126">
        <f>IF(Data!D25/Data!D$33=0,"",Data!D25/Data!D$33)</f>
        <v>1.4113295697878137E-2</v>
      </c>
      <c r="D208" s="126">
        <f>IF(Data!E25/Data!E$33=0,"",Data!E25/Data!E$33)</f>
        <v>5.0622140022749586E-3</v>
      </c>
      <c r="E208" s="126">
        <f>IF(Data!F25/Data!F$33=0,"",Data!F25/Data!F$33)</f>
        <v>2.9610616670851589E-2</v>
      </c>
      <c r="F208" s="126">
        <f>IF(Data!G25/Data!G$33=0,"",Data!G25/Data!G$33)</f>
        <v>2.5108125632222606E-2</v>
      </c>
      <c r="G208" s="48"/>
      <c r="H208" s="48"/>
      <c r="I208" s="48"/>
      <c r="J208" s="48"/>
      <c r="K208" s="48"/>
      <c r="L208" s="48"/>
      <c r="M208" s="48"/>
      <c r="N208" s="48"/>
      <c r="O208" s="48"/>
      <c r="P208" s="48"/>
      <c r="Q208" s="48"/>
    </row>
    <row r="209" spans="1:20" ht="12.75" customHeight="1">
      <c r="A209" s="4" t="str">
        <f>Data!A26</f>
        <v xml:space="preserve">Equity and cost investments </v>
      </c>
      <c r="B209" s="126">
        <f>IF(Data!C26/Data!C$33=0,"",Data!C26/Data!C$33)</f>
        <v>5.0581490136405644E-2</v>
      </c>
      <c r="C209" s="126">
        <f>IF(Data!D26/Data!D$33=0,"",Data!D26/Data!D$33)</f>
        <v>5.5954350788397889E-2</v>
      </c>
      <c r="D209" s="126">
        <f>IF(Data!E26/Data!E$33=0,"",Data!E26/Data!E$33)</f>
        <v>4.3111307926749859E-2</v>
      </c>
      <c r="E209" s="126">
        <f>IF(Data!F26/Data!F$33=0,"",Data!F26/Data!F$33)</f>
        <v>4.7884756670293606E-2</v>
      </c>
      <c r="F209" s="126">
        <f>IF(Data!G26/Data!G$33=0,"",Data!G26/Data!G$33)</f>
        <v>2.8281792712135545E-2</v>
      </c>
      <c r="G209" s="48"/>
      <c r="H209" s="48"/>
      <c r="I209" s="48"/>
      <c r="J209" s="48"/>
      <c r="K209" s="48"/>
      <c r="L209" s="48"/>
      <c r="M209" s="48"/>
      <c r="N209" s="48"/>
      <c r="O209" s="48"/>
      <c r="P209" s="48"/>
      <c r="Q209" s="48"/>
      <c r="R209" s="48"/>
      <c r="S209" s="48"/>
      <c r="T209" s="48"/>
    </row>
    <row r="210" spans="1:20" ht="12.75" customHeight="1">
      <c r="A210" s="4" t="str">
        <f>Data!A27</f>
        <v>Property, plant, and equipment - at cost</v>
      </c>
      <c r="B210" s="126">
        <f>IF(Data!C27/Data!C$33=0,"",Data!C27/Data!C$33)</f>
        <v>0.83733221020596726</v>
      </c>
      <c r="C210" s="126">
        <f>IF(Data!D27/Data!D$33=0,"",Data!D27/Data!D$33)</f>
        <v>0.83987492700019462</v>
      </c>
      <c r="D210" s="126">
        <f>IF(Data!E27/Data!E$33=0,"",Data!E27/Data!E$33)</f>
        <v>0.67572308039629425</v>
      </c>
      <c r="E210" s="126">
        <f>IF(Data!F27/Data!F$33=0,"",Data!F27/Data!F$33)</f>
        <v>0.79802657887639628</v>
      </c>
      <c r="F210" s="126">
        <f>IF(Data!G27/Data!G$33=0,"",Data!G27/Data!G$33)</f>
        <v>0.77468008230644447</v>
      </c>
      <c r="R210" s="48"/>
      <c r="S210" s="48"/>
      <c r="T210" s="48"/>
    </row>
    <row r="211" spans="1:20" ht="12.75" customHeight="1">
      <c r="A211" s="4" t="str">
        <f>Data!A28</f>
        <v>&lt;Accumulated depreciation&gt;</v>
      </c>
      <c r="B211" s="126">
        <f>IF(Data!C28/Data!C$33=0,"",Data!C28/Data!C$33)</f>
        <v>-0.51737677300146734</v>
      </c>
      <c r="C211" s="126">
        <f>IF(Data!D28/Data!D$33=0,"",Data!D28/Data!D$33)</f>
        <v>-0.51637628966322746</v>
      </c>
      <c r="D211" s="126">
        <f>IF(Data!E28/Data!E$33=0,"",Data!E28/Data!E$33)</f>
        <v>-0.39782229284430448</v>
      </c>
      <c r="E211" s="126">
        <f>IF(Data!F28/Data!F$33=0,"",Data!F28/Data!F$33)</f>
        <v>-0.47076602590928973</v>
      </c>
      <c r="F211" s="126">
        <f>IF(Data!G28/Data!G$33=0,"",Data!G28/Data!G$33)</f>
        <v>-0.44620152223535442</v>
      </c>
      <c r="G211" s="48"/>
      <c r="H211" s="48"/>
      <c r="I211" s="48"/>
      <c r="J211" s="48"/>
      <c r="K211" s="48"/>
      <c r="L211" s="48"/>
      <c r="M211" s="48"/>
      <c r="N211" s="48"/>
      <c r="O211" s="48"/>
      <c r="P211" s="48"/>
      <c r="Q211" s="48"/>
      <c r="R211" s="48"/>
      <c r="S211" s="48"/>
      <c r="T211" s="48"/>
    </row>
    <row r="212" spans="1:20" ht="12.75" customHeight="1">
      <c r="A212" s="4" t="str">
        <f>Data!A29</f>
        <v>Deferred income taxes - noncurrent</v>
      </c>
      <c r="B212" s="126">
        <f>IF(Data!C29/Data!C$33=0,"",Data!C29/Data!C$33)</f>
        <v>2.1235258953317758E-2</v>
      </c>
      <c r="C212" s="126">
        <f>IF(Data!D29/Data!D$33=0,"",Data!D29/Data!D$33)</f>
        <v>1.1838135098306403E-2</v>
      </c>
      <c r="D212" s="126">
        <f>IF(Data!E29/Data!E$33=0,"",Data!E29/Data!E$33)</f>
        <v>8.3965024703257035E-2</v>
      </c>
      <c r="E212" s="126">
        <f>IF(Data!F29/Data!F$33=0,"",Data!F29/Data!F$33)</f>
        <v>8.4005245096671607E-2</v>
      </c>
      <c r="F212" s="126">
        <f>IF(Data!G29/Data!G$33=0,"",Data!G29/Data!G$33)</f>
        <v>6.6598801076957814E-2</v>
      </c>
      <c r="G212" s="48"/>
      <c r="H212" s="48"/>
      <c r="I212" s="48"/>
      <c r="J212" s="48"/>
      <c r="K212" s="48"/>
      <c r="L212" s="48"/>
      <c r="M212" s="48"/>
      <c r="N212" s="48"/>
      <c r="O212" s="48"/>
      <c r="P212" s="48"/>
      <c r="Q212" s="48"/>
    </row>
    <row r="213" spans="1:20" ht="12.75" customHeight="1">
      <c r="A213" s="4" t="str">
        <f>Data!A30</f>
        <v>Other assets</v>
      </c>
      <c r="B213" s="126">
        <f>IF(Data!C30/Data!C$33=0,"",Data!C30/Data!C$33)</f>
        <v>1.9210912450410306E-2</v>
      </c>
      <c r="C213" s="126">
        <f>IF(Data!D30/Data!D$33=0,"",Data!D30/Data!D$33)</f>
        <v>1.7605119719680744E-2</v>
      </c>
      <c r="D213" s="126">
        <f>IF(Data!E30/Data!E$33=0,"",Data!E30/Data!E$33)</f>
        <v>1.6089678466921952E-2</v>
      </c>
      <c r="E213" s="126">
        <f>IF(Data!F30/Data!F$33=0,"",Data!F30/Data!F$33)</f>
        <v>1.8497335602488636E-2</v>
      </c>
      <c r="F213" s="126">
        <f>IF(Data!G30/Data!G$33=0,"",Data!G30/Data!G$33)</f>
        <v>3.3415902241412422E-2</v>
      </c>
      <c r="G213" s="48"/>
      <c r="H213" s="48"/>
      <c r="I213" s="48"/>
      <c r="J213" s="48"/>
      <c r="K213" s="48"/>
      <c r="L213" s="48"/>
      <c r="M213" s="48"/>
      <c r="N213" s="48"/>
      <c r="O213" s="48"/>
      <c r="P213" s="48"/>
      <c r="Q213" s="48"/>
      <c r="R213" s="48"/>
      <c r="S213" s="48"/>
      <c r="T213" s="48"/>
    </row>
    <row r="214" spans="1:20" ht="12.75" customHeight="1">
      <c r="A214" s="4" t="str">
        <f>Data!A31</f>
        <v>Other intangible assets</v>
      </c>
      <c r="B214" s="126">
        <f>IF(Data!C31/Data!C$33=0,"",Data!C31/Data!C$33)</f>
        <v>1.5202978099016362E-2</v>
      </c>
      <c r="C214" s="126">
        <f>IF(Data!D31/Data!D$33=0,"",Data!D31/Data!D$33)</f>
        <v>1.7483453377457658E-2</v>
      </c>
      <c r="D214" s="126">
        <f>IF(Data!E31/Data!E$33=0,"",Data!E31/Data!E$33)</f>
        <v>2.3861001849488143E-2</v>
      </c>
      <c r="E214" s="126">
        <f>IF(Data!F31/Data!F$33=0,"",Data!F31/Data!F$33)</f>
        <v>2.5434998930521074E-2</v>
      </c>
      <c r="F214" s="126">
        <f>IF(Data!G31/Data!G$33=0,"",Data!G31/Data!G$33)</f>
        <v>4.1812059452827663E-2</v>
      </c>
      <c r="G214" s="48"/>
      <c r="H214" s="48"/>
      <c r="I214" s="48"/>
      <c r="J214" s="48"/>
      <c r="K214" s="48"/>
      <c r="L214" s="48"/>
      <c r="M214" s="48"/>
      <c r="N214" s="48"/>
      <c r="O214" s="48"/>
      <c r="P214" s="48"/>
      <c r="Q214" s="48"/>
      <c r="R214" s="48"/>
      <c r="S214" s="48"/>
      <c r="T214" s="48"/>
    </row>
    <row r="215" spans="1:20" ht="12.75" customHeight="1">
      <c r="A215" s="4" t="str">
        <f>Data!A32</f>
        <v xml:space="preserve">Goodwill </v>
      </c>
      <c r="B215" s="126">
        <f>IF(Data!C32/Data!C$33=0,"",Data!C32/Data!C$33)</f>
        <v>4.3693277539264185E-2</v>
      </c>
      <c r="C215" s="126">
        <f>IF(Data!D32/Data!D$33=0,"",Data!D32/Data!D$33)</f>
        <v>4.8557037181234185E-2</v>
      </c>
      <c r="D215" s="126">
        <f>IF(Data!E32/Data!E$33=0,"",Data!E32/Data!E$33)</f>
        <v>7.4925977059400711E-2</v>
      </c>
      <c r="E215" s="126">
        <f>IF(Data!F32/Data!F$33=0,"",Data!F32/Data!F$33)</f>
        <v>7.9625031386881692E-2</v>
      </c>
      <c r="F215" s="126">
        <f>IF(Data!G32/Data!G$33=0,"",Data!G32/Data!G$33)</f>
        <v>0.1265770915872112</v>
      </c>
      <c r="G215" s="48"/>
      <c r="H215" s="48"/>
      <c r="I215" s="48"/>
      <c r="J215" s="48"/>
      <c r="K215" s="48"/>
      <c r="L215" s="48"/>
      <c r="M215" s="48"/>
      <c r="N215" s="48"/>
      <c r="O215" s="48"/>
      <c r="P215" s="48"/>
      <c r="Q215" s="48"/>
      <c r="R215" s="48"/>
      <c r="S215" s="48"/>
      <c r="T215" s="48"/>
    </row>
    <row r="216" spans="1:20" ht="12.75" customHeight="1">
      <c r="A216" s="517" t="str">
        <f>Data!A33</f>
        <v xml:space="preserve">   Total Assets</v>
      </c>
      <c r="B216" s="521">
        <f>IF(Data!C33/Data!C$33=0,"",Data!C33/Data!C$33)</f>
        <v>1</v>
      </c>
      <c r="C216" s="521">
        <f>IF(Data!D33/Data!D$33=0,"",Data!D33/Data!D$33)</f>
        <v>1</v>
      </c>
      <c r="D216" s="521">
        <f>IF(Data!E33/Data!E$33=0,"",Data!E33/Data!E$33)</f>
        <v>1</v>
      </c>
      <c r="E216" s="521">
        <f>IF(Data!F33/Data!F$33=0,"",Data!F33/Data!F$33)</f>
        <v>1</v>
      </c>
      <c r="F216" s="521">
        <f>IF(Data!G33/Data!G$33=0,"",Data!G33/Data!G$33)</f>
        <v>1</v>
      </c>
      <c r="G216" s="48"/>
      <c r="H216" s="48"/>
      <c r="I216" s="48"/>
      <c r="J216" s="48"/>
      <c r="K216" s="48"/>
      <c r="L216" s="48"/>
      <c r="M216" s="48"/>
      <c r="N216" s="48"/>
      <c r="O216" s="48"/>
      <c r="P216" s="48"/>
      <c r="Q216" s="48"/>
      <c r="R216" s="48"/>
      <c r="S216" s="48"/>
      <c r="T216" s="48"/>
    </row>
    <row r="217" spans="1:20" customFormat="1" ht="12.75" customHeight="1"/>
    <row r="218" spans="1:20" ht="12.75" customHeight="1">
      <c r="A218" s="517" t="str">
        <f>Data!A35</f>
        <v>Liabilities and Equities:</v>
      </c>
      <c r="B218" s="528" t="str">
        <f>IF(Data!C35/Data!C$33=0,"",Data!C35/Data!C$33)</f>
        <v/>
      </c>
      <c r="C218" s="529" t="str">
        <f>IF(Data!D35/Data!D$33=0,"",Data!D35/Data!D$33)</f>
        <v/>
      </c>
      <c r="D218" s="529" t="str">
        <f>IF(Data!E35/Data!E$33=0,"",Data!E35/Data!E$33)</f>
        <v/>
      </c>
      <c r="E218" s="529" t="str">
        <f>IF(Data!F35/Data!F$33=0,"",Data!F35/Data!F$33)</f>
        <v/>
      </c>
      <c r="F218" s="529" t="str">
        <f>IF(Data!G35/Data!G$33=0,"",Data!G35/Data!G$33)</f>
        <v/>
      </c>
      <c r="G218" s="48"/>
      <c r="H218" s="48"/>
      <c r="I218" s="48"/>
      <c r="J218" s="48"/>
      <c r="K218" s="48"/>
      <c r="L218" s="48"/>
      <c r="M218" s="48"/>
      <c r="N218" s="48"/>
      <c r="O218" s="48"/>
      <c r="P218" s="48"/>
      <c r="Q218" s="48"/>
      <c r="R218" s="48"/>
      <c r="S218" s="48"/>
      <c r="T218" s="48"/>
    </row>
    <row r="219" spans="1:20" ht="12.75" customHeight="1">
      <c r="A219" s="498" t="str">
        <f>Data!A36</f>
        <v>Accounts payable</v>
      </c>
      <c r="B219" s="126">
        <f>IF(Data!C36/Data!C$33=0,"",Data!C36/Data!C$33)</f>
        <v>7.3365577957719696E-2</v>
      </c>
      <c r="C219" s="126">
        <f>IF(Data!D36/Data!D$33=0,"",Data!D36/Data!D$33)</f>
        <v>4.8435370839011095E-2</v>
      </c>
      <c r="D219" s="126">
        <f>IF(Data!E36/Data!E$33=0,"",Data!E36/Data!E$33)</f>
        <v>4.2694521868243518E-2</v>
      </c>
      <c r="E219" s="126">
        <f>IF(Data!F36/Data!F$33=0,"",Data!F36/Data!F$33)</f>
        <v>4.9633122227492131E-2</v>
      </c>
      <c r="F219" s="126">
        <f>IF(Data!G36/Data!G$33=0,"",Data!G36/Data!G$33)</f>
        <v>5.4972734584213472E-2</v>
      </c>
      <c r="G219" s="48"/>
      <c r="H219" s="48"/>
      <c r="I219" s="48"/>
      <c r="J219" s="48"/>
      <c r="K219" s="48"/>
      <c r="L219" s="48"/>
      <c r="M219" s="48"/>
      <c r="N219" s="48"/>
      <c r="O219" s="48"/>
      <c r="P219" s="48"/>
      <c r="Q219" s="48"/>
      <c r="R219" s="48"/>
      <c r="S219" s="48"/>
      <c r="T219" s="48"/>
    </row>
    <row r="220" spans="1:20" ht="12.75" customHeight="1">
      <c r="A220" s="498" t="str">
        <f>Data!A37</f>
        <v>Accrued liabilities</v>
      </c>
      <c r="B220" s="126">
        <f>IF(Data!C37/Data!C$33=0,"",Data!C37/Data!C$33)</f>
        <v>0.12783272648225641</v>
      </c>
      <c r="C220" s="126">
        <f>IF(Data!D37/Data!D$33=0,"",Data!D37/Data!D$33)</f>
        <v>0.13794529881253648</v>
      </c>
      <c r="D220" s="126">
        <f>IF(Data!E37/Data!E$33=0,"",Data!E37/Data!E$33)</f>
        <v>0.11021386334627109</v>
      </c>
      <c r="E220" s="126">
        <f>IF(Data!F37/Data!F$33=0,"",Data!F37/Data!F$33)</f>
        <v>0.14083642552241724</v>
      </c>
      <c r="F220" s="126">
        <f>IF(Data!G37/Data!G$33=0,"",Data!G37/Data!G$33)</f>
        <v>0.1414652057620939</v>
      </c>
      <c r="G220" s="48"/>
      <c r="H220" s="48"/>
      <c r="I220" s="48"/>
      <c r="J220" s="48"/>
      <c r="K220" s="48"/>
      <c r="L220" s="48"/>
      <c r="M220" s="48"/>
      <c r="N220" s="48"/>
      <c r="O220" s="48"/>
      <c r="P220" s="48"/>
      <c r="Q220" s="48"/>
      <c r="R220" s="48"/>
      <c r="S220" s="48"/>
      <c r="T220" s="48"/>
    </row>
    <row r="221" spans="1:20" ht="12.75" customHeight="1">
      <c r="A221" s="498" t="str">
        <f>Data!A38</f>
        <v>Notes payable and short-term debt</v>
      </c>
      <c r="B221" s="126" t="str">
        <f>IF(Data!C38/Data!C$33=0,"",Data!C38/Data!C$33)</f>
        <v/>
      </c>
      <c r="C221" s="126" t="str">
        <f>IF(Data!D38/Data!D$33=0,"",Data!D38/Data!D$33)</f>
        <v/>
      </c>
      <c r="D221" s="126" t="str">
        <f>IF(Data!E38/Data!E$33=0,"",Data!E38/Data!E$33)</f>
        <v/>
      </c>
      <c r="E221" s="126" t="str">
        <f>IF(Data!F38/Data!F$33=0,"",Data!F38/Data!F$33)</f>
        <v/>
      </c>
      <c r="F221" s="126" t="str">
        <f>IF(Data!G38/Data!G$33=0,"",Data!G38/Data!G$33)</f>
        <v/>
      </c>
      <c r="G221" s="48"/>
      <c r="H221" s="48"/>
      <c r="I221" s="48"/>
      <c r="J221" s="48"/>
      <c r="K221" s="48"/>
      <c r="L221" s="48"/>
      <c r="M221" s="48"/>
      <c r="N221" s="48"/>
      <c r="O221" s="48"/>
      <c r="P221" s="48"/>
      <c r="Q221" s="48"/>
      <c r="R221" s="48"/>
      <c r="S221" s="48"/>
      <c r="T221" s="48"/>
    </row>
    <row r="222" spans="1:20" ht="12.75" customHeight="1">
      <c r="A222" s="498" t="str">
        <f>Data!A39</f>
        <v>Current maturities of long-term debt</v>
      </c>
      <c r="B222" s="126" t="str">
        <f>IF(Data!C39/Data!C$33=0,"",Data!C39/Data!C$33)</f>
        <v/>
      </c>
      <c r="C222" s="126" t="str">
        <f>IF(Data!D39/Data!D$33=0,"",Data!D39/Data!D$33)</f>
        <v/>
      </c>
      <c r="D222" s="126" t="str">
        <f>IF(Data!E39/Data!E$33=0,"",Data!E39/Data!E$33)</f>
        <v/>
      </c>
      <c r="E222" s="126" t="str">
        <f>IF(Data!F39/Data!F$33=0,"",Data!F39/Data!F$33)</f>
        <v/>
      </c>
      <c r="F222" s="126" t="str">
        <f>IF(Data!G39/Data!G$33=0,"",Data!G39/Data!G$33)</f>
        <v/>
      </c>
      <c r="G222" s="48"/>
      <c r="H222" s="48"/>
      <c r="I222" s="48"/>
      <c r="J222" s="48"/>
      <c r="K222" s="48"/>
      <c r="L222" s="48"/>
      <c r="M222" s="48"/>
      <c r="N222" s="48"/>
      <c r="O222" s="48"/>
      <c r="P222" s="48"/>
      <c r="Q222" s="48"/>
      <c r="R222" s="48"/>
      <c r="S222" s="48"/>
      <c r="T222" s="48"/>
    </row>
    <row r="223" spans="1:20" ht="12.75" customHeight="1">
      <c r="A223" s="498" t="str">
        <f>Data!A40</f>
        <v>Deferred tax liabilities - current</v>
      </c>
      <c r="B223" s="126" t="str">
        <f>IF(Data!C40/Data!C$33=0,"",Data!C40/Data!C$33)</f>
        <v/>
      </c>
      <c r="C223" s="126" t="str">
        <f>IF(Data!D40/Data!D$33=0,"",Data!D40/Data!D$33)</f>
        <v/>
      </c>
      <c r="D223" s="126" t="str">
        <f>IF(Data!E40/Data!E$33=0,"",Data!E40/Data!E$33)</f>
        <v/>
      </c>
      <c r="E223" s="126" t="str">
        <f>IF(Data!F40/Data!F$33=0,"",Data!F40/Data!F$33)</f>
        <v/>
      </c>
      <c r="F223" s="126" t="str">
        <f>IF(Data!G40/Data!G$33=0,"",Data!G40/Data!G$33)</f>
        <v/>
      </c>
      <c r="R223" s="48"/>
      <c r="S223" s="48"/>
      <c r="T223" s="48"/>
    </row>
    <row r="224" spans="1:20" ht="12.75" customHeight="1">
      <c r="A224" s="498" t="str">
        <f>Data!A41</f>
        <v>Insurance Reserves</v>
      </c>
      <c r="B224" s="126">
        <f>IF(Data!C41/Data!C$33=0,"",Data!C41/Data!C$33)</f>
        <v>1.978153361230368E-2</v>
      </c>
      <c r="C224" s="126">
        <f>IF(Data!D41/Data!D$33=0,"",Data!D41/Data!D$33)</f>
        <v>2.0403445590811756E-2</v>
      </c>
      <c r="D224" s="126">
        <f>IF(Data!E41/Data!E$33=0,"",Data!E41/Data!E$33)</f>
        <v>1.5499231550704633E-2</v>
      </c>
      <c r="E224" s="126">
        <f>IF(Data!F41/Data!F$33=0,"",Data!F41/Data!F$33)</f>
        <v>1.8236940732267577E-2</v>
      </c>
      <c r="F224" s="126">
        <f>IF(Data!G41/Data!G$33=0,"",Data!G41/Data!G$33)</f>
        <v>1.8061781254795656E-2</v>
      </c>
      <c r="G224" s="48"/>
      <c r="H224" s="48"/>
      <c r="I224" s="48"/>
      <c r="J224" s="48"/>
      <c r="K224" s="48"/>
      <c r="L224" s="48"/>
      <c r="M224" s="48"/>
      <c r="N224" s="48"/>
      <c r="O224" s="48"/>
      <c r="P224" s="48"/>
      <c r="Q224" s="48"/>
      <c r="R224" s="48"/>
      <c r="S224" s="48"/>
      <c r="T224" s="48"/>
    </row>
    <row r="225" spans="1:20" ht="12.75" customHeight="1">
      <c r="A225" s="498" t="str">
        <f>Data!A42</f>
        <v>Stored value card liability</v>
      </c>
      <c r="B225" s="126">
        <f>IF(Data!C42/Data!C$33=0,"",Data!C42/Data!C$33)</f>
        <v>6.1042878104450859E-2</v>
      </c>
      <c r="C225" s="126">
        <f>IF(Data!D42/Data!D$33=0,"",Data!D42/Data!D$33)</f>
        <v>6.2074167802219186E-2</v>
      </c>
      <c r="D225" s="126">
        <f>IF(Data!E42/Data!E$33=0,"",Data!E42/Data!E$33)</f>
        <v>5.6761051342832602E-2</v>
      </c>
      <c r="E225" s="126">
        <f>IF(Data!F42/Data!F$33=0,"",Data!F42/Data!F$33)</f>
        <v>7.388704442522484E-2</v>
      </c>
      <c r="F225" s="126">
        <f>IF(Data!G42/Data!G$33=0,"",Data!G42/Data!G$33)</f>
        <v>7.9044396790337923E-2</v>
      </c>
      <c r="G225" s="48"/>
      <c r="H225" s="48"/>
      <c r="I225" s="48"/>
      <c r="J225" s="48"/>
      <c r="K225" s="48"/>
      <c r="L225" s="48"/>
      <c r="M225" s="48"/>
      <c r="N225" s="48"/>
      <c r="O225" s="48"/>
      <c r="P225" s="48"/>
      <c r="Q225" s="48"/>
    </row>
    <row r="226" spans="1:20" ht="12.75" customHeight="1">
      <c r="A226" s="498" t="str">
        <f>Data!A43</f>
        <v>Accrued litigation charge</v>
      </c>
      <c r="B226" s="126" t="str">
        <f>IF(Data!C43/Data!C$33=0,"",Data!C43/Data!C$33)</f>
        <v/>
      </c>
      <c r="C226" s="126" t="str">
        <f>IF(Data!D43/Data!D$33=0,"",Data!D43/Data!D$33)</f>
        <v/>
      </c>
      <c r="D226" s="126">
        <f>IF(Data!E43/Data!E$33=0,"",Data!E43/Data!E$33)</f>
        <v>0.24174459697656453</v>
      </c>
      <c r="E226" s="126" t="str">
        <f>IF(Data!F43/Data!F$33=0,"",Data!F43/Data!F$33)</f>
        <v/>
      </c>
      <c r="F226" s="126" t="str">
        <f>IF(Data!G43/Data!G$33=0,"",Data!G43/Data!G$33)</f>
        <v/>
      </c>
      <c r="G226" s="48"/>
      <c r="H226" s="48"/>
      <c r="I226" s="48"/>
      <c r="J226" s="48"/>
      <c r="K226" s="48"/>
      <c r="L226" s="48"/>
      <c r="M226" s="48"/>
      <c r="N226" s="48"/>
      <c r="O226" s="48"/>
      <c r="P226" s="48"/>
      <c r="Q226" s="48"/>
      <c r="R226" s="48"/>
      <c r="S226" s="48"/>
      <c r="T226" s="48"/>
    </row>
    <row r="227" spans="1:20" ht="12.75" customHeight="1">
      <c r="A227" s="517" t="str">
        <f>Data!A44</f>
        <v xml:space="preserve">  Current Liabilities</v>
      </c>
      <c r="B227" s="521">
        <f>IF(Data!C44/Data!C$33=0,"",Data!C44/Data!C$33)</f>
        <v>0.28202271615673069</v>
      </c>
      <c r="C227" s="521">
        <f>IF(Data!D44/Data!D$33=0,"",Data!D44/Data!D$33)</f>
        <v>0.26885828304457854</v>
      </c>
      <c r="D227" s="521">
        <f>IF(Data!E44/Data!E$33=0,"",Data!E44/Data!E$33)</f>
        <v>0.46691326508461628</v>
      </c>
      <c r="E227" s="521">
        <f>IF(Data!F44/Data!F$33=0,"",Data!F44/Data!F$33)</f>
        <v>0.2825935329074018</v>
      </c>
      <c r="F227" s="521">
        <f>IF(Data!G44/Data!G$33=0,"",Data!G44/Data!G$33)</f>
        <v>0.29354411839144096</v>
      </c>
      <c r="R227" s="48"/>
      <c r="S227" s="48"/>
      <c r="T227" s="48"/>
    </row>
    <row r="228" spans="1:20" ht="12.75" customHeight="1">
      <c r="A228" s="498" t="str">
        <f>Data!A45</f>
        <v xml:space="preserve">Long-term debt </v>
      </c>
      <c r="B228" s="522">
        <f>IF(Data!C45/Data!C$33=0,"",Data!C45/Data!C$33)</f>
        <v>7.465626868104995E-2</v>
      </c>
      <c r="C228" s="522">
        <f>IF(Data!D45/Data!D$33=0,"",Data!D45/Data!D$33)</f>
        <v>6.6867821685808834E-2</v>
      </c>
      <c r="D228" s="522">
        <f>IF(Data!E45/Data!E$33=0,"",Data!E45/Data!E$33)</f>
        <v>0.11282745925482129</v>
      </c>
      <c r="E228" s="522">
        <f>IF(Data!F45/Data!F$33=0,"",Data!F45/Data!F$33)</f>
        <v>0.19048814738349659</v>
      </c>
      <c r="F228" s="522">
        <f>IF(Data!G45/Data!G$33=0,"",Data!G45/Data!G$33)</f>
        <v>0.18861223974925623</v>
      </c>
      <c r="G228" s="48"/>
      <c r="H228" s="48"/>
      <c r="I228" s="48"/>
      <c r="J228" s="48"/>
      <c r="K228" s="48"/>
      <c r="L228" s="48"/>
      <c r="M228" s="48"/>
      <c r="N228" s="48"/>
      <c r="O228" s="48"/>
      <c r="P228" s="48"/>
      <c r="Q228" s="48"/>
      <c r="R228" s="48"/>
      <c r="S228" s="48"/>
      <c r="T228" s="48"/>
    </row>
    <row r="229" spans="1:20" ht="12.75" customHeight="1">
      <c r="A229" s="81" t="str">
        <f>Data!A46</f>
        <v>Long-term accrued liabilities</v>
      </c>
      <c r="B229" s="126">
        <f>IF(Data!C46/Data!C$33=0,"",Data!C46/Data!C$33)</f>
        <v>4.725286669202762E-2</v>
      </c>
      <c r="C229" s="126">
        <f>IF(Data!D46/Data!D$33=0,"",Data!D46/Data!D$33)</f>
        <v>4.201138796963208E-2</v>
      </c>
      <c r="D229" s="126">
        <f>IF(Data!E46/Data!E$33=0,"",Data!E46/Data!E$33)</f>
        <v>3.1059244401608108E-2</v>
      </c>
      <c r="E229" s="126">
        <f>IF(Data!F46/Data!F$33=0,"",Data!F46/Data!F$33)</f>
        <v>3.6473881464535153E-2</v>
      </c>
      <c r="F229" s="126">
        <f>IF(Data!G46/Data!G$33=0,"",Data!G46/Data!G$33)</f>
        <v>5.0240355065052145E-2</v>
      </c>
      <c r="G229" s="48"/>
      <c r="H229" s="48"/>
      <c r="I229" s="48"/>
      <c r="J229" s="48"/>
      <c r="K229" s="48"/>
      <c r="L229" s="48"/>
      <c r="M229" s="48"/>
      <c r="N229" s="48"/>
      <c r="O229" s="48"/>
      <c r="P229" s="48"/>
      <c r="Q229" s="48"/>
    </row>
    <row r="230" spans="1:20" ht="12.75" customHeight="1">
      <c r="A230" s="81" t="str">
        <f>Data!A47</f>
        <v>Deferred tax liabilities- noncurrent</v>
      </c>
      <c r="B230" s="126" t="str">
        <f>IF(Data!C47/Data!C$33=0,"",Data!C47/Data!C$33)</f>
        <v/>
      </c>
      <c r="C230" s="126" t="str">
        <f>IF(Data!D47/Data!D$33=0,"",Data!D47/Data!D$33)</f>
        <v/>
      </c>
      <c r="D230" s="126" t="str">
        <f>IF(Data!E47/Data!E$33=0,"",Data!E47/Data!E$33)</f>
        <v/>
      </c>
      <c r="E230" s="126" t="str">
        <f>IF(Data!F47/Data!F$33=0,"",Data!F47/Data!F$33)</f>
        <v/>
      </c>
      <c r="F230" s="126" t="str">
        <f>IF(Data!G47/Data!G$33=0,"",Data!G47/Data!G$33)</f>
        <v/>
      </c>
      <c r="G230" s="48"/>
      <c r="H230" s="48"/>
      <c r="I230" s="48"/>
      <c r="J230" s="48"/>
      <c r="K230" s="48"/>
      <c r="L230" s="48"/>
      <c r="M230" s="48"/>
      <c r="N230" s="48"/>
      <c r="O230" s="48"/>
      <c r="P230" s="48"/>
      <c r="Q230" s="48"/>
      <c r="R230" s="48"/>
      <c r="S230" s="48"/>
      <c r="T230" s="48"/>
    </row>
    <row r="231" spans="1:20" ht="12.75" customHeight="1">
      <c r="A231" s="81" t="str">
        <f>Data!A48</f>
        <v>Other noncurrent liabilities (1)</v>
      </c>
      <c r="B231" s="126" t="str">
        <f>IF(Data!C48/Data!C$33=0,"",Data!C48/Data!C$33)</f>
        <v/>
      </c>
      <c r="C231" s="126" t="str">
        <f>IF(Data!D48/Data!D$33=0,"",Data!D48/Data!D$33)</f>
        <v/>
      </c>
      <c r="D231" s="126" t="str">
        <f>IF(Data!E48/Data!E$33=0,"",Data!E48/Data!E$33)</f>
        <v/>
      </c>
      <c r="E231" s="126" t="str">
        <f>IF(Data!F48/Data!F$33=0,"",Data!F48/Data!F$33)</f>
        <v/>
      </c>
      <c r="F231" s="126" t="str">
        <f>IF(Data!G48/Data!G$33=0,"",Data!G48/Data!G$33)</f>
        <v/>
      </c>
      <c r="R231" s="48"/>
      <c r="S231" s="48"/>
      <c r="T231" s="48"/>
    </row>
    <row r="232" spans="1:20" ht="12.75" customHeight="1">
      <c r="A232" s="81" t="str">
        <f>Data!A49</f>
        <v>Other noncurrent liabilities (2)</v>
      </c>
      <c r="B232" s="126" t="str">
        <f>IF(Data!C49/Data!C$33=0,"",Data!C49/Data!C$33)</f>
        <v/>
      </c>
      <c r="C232" s="126" t="str">
        <f>IF(Data!D49/Data!D$33=0,"",Data!D49/Data!D$33)</f>
        <v/>
      </c>
      <c r="D232" s="126" t="str">
        <f>IF(Data!E49/Data!E$33=0,"",Data!E49/Data!E$33)</f>
        <v/>
      </c>
      <c r="E232" s="126" t="str">
        <f>IF(Data!F49/Data!F$33=0,"",Data!F49/Data!F$33)</f>
        <v/>
      </c>
      <c r="F232" s="126" t="str">
        <f>IF(Data!G49/Data!G$33=0,"",Data!G49/Data!G$33)</f>
        <v/>
      </c>
      <c r="G232" s="48"/>
      <c r="H232" s="48"/>
      <c r="I232" s="48"/>
      <c r="J232" s="48"/>
      <c r="K232" s="48"/>
      <c r="L232" s="48"/>
      <c r="M232" s="48"/>
      <c r="N232" s="48"/>
      <c r="O232" s="48"/>
      <c r="P232" s="48"/>
      <c r="Q232" s="48"/>
      <c r="R232" s="48"/>
      <c r="S232" s="48"/>
      <c r="T232" s="48"/>
    </row>
    <row r="233" spans="1:20" ht="12.75" customHeight="1">
      <c r="A233" s="517" t="str">
        <f>Data!A50</f>
        <v xml:space="preserve">  Total Liabilities</v>
      </c>
      <c r="B233" s="521">
        <f>IF(Data!C50/Data!C$33=0,"",Data!C50/Data!C$33)</f>
        <v>0.40393185152980826</v>
      </c>
      <c r="C233" s="521">
        <f>IF(Data!D50/Data!D$33=0,"",Data!D50/Data!D$33)</f>
        <v>0.37773749270001944</v>
      </c>
      <c r="D233" s="521">
        <f>IF(Data!E50/Data!E$33=0,"",Data!E50/Data!E$33)</f>
        <v>0.6107999687410457</v>
      </c>
      <c r="E233" s="521">
        <f>IF(Data!F50/Data!F$33=0,"",Data!F50/Data!F$33)</f>
        <v>0.50955556175543348</v>
      </c>
      <c r="F233" s="521">
        <f>IF(Data!G50/Data!G$33=0,"",Data!G50/Data!G$33)</f>
        <v>0.53239671320574933</v>
      </c>
      <c r="G233" s="48"/>
      <c r="H233" s="114"/>
      <c r="I233" s="48"/>
      <c r="J233" s="48"/>
      <c r="K233" s="48"/>
      <c r="L233" s="48"/>
      <c r="M233" s="48"/>
      <c r="N233" s="48"/>
      <c r="O233" s="48"/>
      <c r="P233" s="48"/>
      <c r="Q233" s="48"/>
    </row>
    <row r="234" spans="1:20" ht="12.75" customHeight="1">
      <c r="A234" s="102"/>
      <c r="B234" s="130" t="str">
        <f>IF(Data!C51/Data!C$33=0,"",Data!C51/Data!C$33)</f>
        <v/>
      </c>
      <c r="C234" s="130" t="str">
        <f>IF(Data!D51/Data!D$33=0,"",Data!D51/Data!D$33)</f>
        <v/>
      </c>
      <c r="D234" s="130" t="str">
        <f>IF(Data!E51/Data!E$33=0,"",Data!E51/Data!E$33)</f>
        <v/>
      </c>
      <c r="E234" s="130" t="str">
        <f>IF(Data!F51/Data!F$33=0,"",Data!F51/Data!F$33)</f>
        <v/>
      </c>
      <c r="F234" s="130" t="str">
        <f>IF(Data!G51/Data!G$33=0,"",Data!G51/Data!G$33)</f>
        <v/>
      </c>
      <c r="G234" s="48"/>
      <c r="H234" s="48"/>
      <c r="I234" s="48"/>
      <c r="J234" s="48"/>
      <c r="K234" s="48"/>
      <c r="L234" s="48"/>
      <c r="M234" s="48"/>
      <c r="N234" s="48"/>
      <c r="O234" s="48"/>
      <c r="P234" s="48"/>
      <c r="Q234" s="48"/>
      <c r="R234" s="48"/>
      <c r="S234" s="48"/>
      <c r="T234" s="48"/>
    </row>
    <row r="235" spans="1:20" ht="12.75" customHeight="1">
      <c r="A235" s="81" t="str">
        <f>Data!A52</f>
        <v>Preferred stock</v>
      </c>
      <c r="B235" s="126" t="str">
        <f>IF(Data!C52/Data!C$33=0,"",Data!C52/Data!C$33)</f>
        <v/>
      </c>
      <c r="C235" s="126" t="str">
        <f>IF(Data!D52/Data!D$33=0,"",Data!D52/Data!D$33)</f>
        <v/>
      </c>
      <c r="D235" s="126" t="str">
        <f>IF(Data!E52/Data!E$33=0,"",Data!E52/Data!E$33)</f>
        <v/>
      </c>
      <c r="E235" s="126" t="str">
        <f>IF(Data!F52/Data!F$33=0,"",Data!F52/Data!F$33)</f>
        <v/>
      </c>
      <c r="F235" s="126" t="str">
        <f>IF(Data!G52/Data!G$33=0,"",Data!G52/Data!G$33)</f>
        <v/>
      </c>
      <c r="R235" s="48"/>
      <c r="S235" s="48"/>
      <c r="T235" s="48"/>
    </row>
    <row r="236" spans="1:20" ht="12.75" customHeight="1">
      <c r="A236" s="81" t="str">
        <f>Data!A53</f>
        <v>Common stock + Additional paid in capital</v>
      </c>
      <c r="B236" s="126">
        <f>IF(Data!C53/Data!C$33=0,"",Data!C53/Data!C$33)</f>
        <v>5.5975218738112077E-3</v>
      </c>
      <c r="C236" s="126">
        <f>IF(Data!D53/Data!D$33=0,"",Data!D53/Data!D$33)</f>
        <v>4.8788203231458051E-3</v>
      </c>
      <c r="D236" s="126">
        <f>IF(Data!E53/Data!E$33=0,"",Data!E53/Data!E$33)</f>
        <v>2.4564328323217591E-2</v>
      </c>
      <c r="E236" s="126">
        <f>IF(Data!F53/Data!F$33=0,"",Data!F53/Data!F$33)</f>
        <v>3.7292265342372764E-3</v>
      </c>
      <c r="F236" s="126">
        <f>IF(Data!G53/Data!G$33=0,"",Data!G53/Data!G$33)</f>
        <v>3.4227396861845859E-3</v>
      </c>
      <c r="G236" s="48"/>
      <c r="H236" s="48"/>
      <c r="I236" s="48"/>
      <c r="J236" s="48"/>
      <c r="K236" s="48"/>
      <c r="L236" s="48"/>
      <c r="M236" s="48"/>
      <c r="N236" s="48"/>
      <c r="O236" s="48"/>
      <c r="P236" s="48"/>
      <c r="Q236" s="48"/>
    </row>
    <row r="237" spans="1:20" ht="12.75" customHeight="1">
      <c r="A237" s="81" t="str">
        <f>Data!A54</f>
        <v>Retained earnings &lt;deficit&gt;</v>
      </c>
      <c r="B237" s="126">
        <f>IF(Data!C54/Data!C$33=0,"",Data!C54/Data!C$33)</f>
        <v>0.58385413836204558</v>
      </c>
      <c r="C237" s="126">
        <f>IF(Data!D54/Data!D$33=0,"",Data!D54/Data!D$33)</f>
        <v>0.61395269612614356</v>
      </c>
      <c r="D237" s="126">
        <f>IF(Data!E54/Data!E$33=0,"",Data!E54/Data!E$33)</f>
        <v>0.35863572030182267</v>
      </c>
      <c r="E237" s="126">
        <f>IF(Data!F54/Data!F$33=0,"",Data!F54/Data!F$33)</f>
        <v>0.48420426117605497</v>
      </c>
      <c r="F237" s="126">
        <f>IF(Data!G54/Data!G$33=0,"",Data!G54/Data!G$33)</f>
        <v>0.48005129288769166</v>
      </c>
      <c r="G237" s="48"/>
      <c r="H237" s="48"/>
      <c r="I237" s="48"/>
      <c r="J237" s="48"/>
      <c r="K237" s="48"/>
      <c r="L237" s="48"/>
      <c r="M237" s="48"/>
      <c r="N237" s="48"/>
      <c r="O237" s="48"/>
      <c r="P237" s="48"/>
      <c r="Q237" s="48"/>
      <c r="R237" s="48"/>
      <c r="S237" s="48"/>
      <c r="T237" s="48"/>
    </row>
    <row r="238" spans="1:20" ht="12.75" customHeight="1">
      <c r="A238" s="81" t="str">
        <f>Data!A55</f>
        <v>Accum. other comprehensive income &lt;loss&gt;</v>
      </c>
      <c r="B238" s="126">
        <f>IF(Data!C55/Data!C$33=0,"",Data!C55/Data!C$33)</f>
        <v>6.2904189989674477E-3</v>
      </c>
      <c r="C238" s="126">
        <f>IF(Data!D55/Data!D$33=0,"",Data!D55/Data!D$33)</f>
        <v>2.761825968464084E-3</v>
      </c>
      <c r="D238" s="126">
        <f>IF(Data!E55/Data!E$33=0,"",Data!E55/Data!E$33)</f>
        <v>5.8176387333177051E-3</v>
      </c>
      <c r="E238" s="126">
        <f>IF(Data!F55/Data!F$33=0,"",Data!F55/Data!F$33)</f>
        <v>2.3528536487831195E-3</v>
      </c>
      <c r="F238" s="126">
        <f>IF(Data!G55/Data!G$33=0,"",Data!G55/Data!G$33)</f>
        <v>-1.6020992803408601E-2</v>
      </c>
      <c r="R238" s="48"/>
      <c r="S238" s="48"/>
      <c r="T238" s="48"/>
    </row>
    <row r="239" spans="1:20" ht="12.75" customHeight="1">
      <c r="A239" s="81" t="str">
        <f>Data!A56</f>
        <v>&lt;Treasury stock&gt; and other equity adjustments</v>
      </c>
      <c r="B239" s="126" t="str">
        <f>IF(Data!C56/Data!C$33=0,"",Data!C56/Data!C$33)</f>
        <v/>
      </c>
      <c r="C239" s="126" t="str">
        <f>IF(Data!D56/Data!D$33=0,"",Data!D56/Data!D$33)</f>
        <v/>
      </c>
      <c r="D239" s="126" t="str">
        <f>IF(Data!E56/Data!E$33=0,"",Data!E56/Data!E$33)</f>
        <v/>
      </c>
      <c r="E239" s="126" t="str">
        <f>IF(Data!F56/Data!F$33=0,"",Data!F56/Data!F$33)</f>
        <v/>
      </c>
      <c r="F239" s="126" t="str">
        <f>IF(Data!G56/Data!G$33=0,"",Data!G56/Data!G$33)</f>
        <v/>
      </c>
      <c r="G239" s="48"/>
      <c r="H239" s="48"/>
      <c r="I239" s="48"/>
      <c r="J239" s="48"/>
      <c r="K239" s="48"/>
      <c r="L239" s="48"/>
      <c r="M239" s="48"/>
      <c r="N239" s="48"/>
      <c r="O239" s="48"/>
      <c r="P239" s="48"/>
      <c r="Q239" s="48"/>
    </row>
    <row r="240" spans="1:20" ht="12.75" customHeight="1">
      <c r="A240" s="517" t="str">
        <f>Data!A57</f>
        <v xml:space="preserve"> Total Common Shareholders' Equity</v>
      </c>
      <c r="B240" s="521">
        <f>IF(Data!C57/Data!C$33=0,"",Data!C57/Data!C$33)</f>
        <v>0.59574207923482425</v>
      </c>
      <c r="C240" s="521">
        <f>IF(Data!D57/Data!D$33=0,"",Data!D57/Data!D$33)</f>
        <v>0.62159334241775355</v>
      </c>
      <c r="D240" s="521">
        <f>IF(Data!E57/Data!E$33=0,"",Data!E57/Data!E$33)</f>
        <v>0.38901768735835796</v>
      </c>
      <c r="E240" s="521">
        <f>IF(Data!F57/Data!F$33=0,"",Data!F57/Data!F$33)</f>
        <v>0.49028634135907539</v>
      </c>
      <c r="F240" s="521">
        <f>IF(Data!G57/Data!G$33=0,"",Data!G57/Data!G$33)</f>
        <v>0.4674530397704677</v>
      </c>
      <c r="G240" s="48"/>
      <c r="H240" s="48"/>
      <c r="I240" s="48"/>
      <c r="J240" s="48"/>
      <c r="K240" s="48"/>
      <c r="L240" s="48"/>
      <c r="M240" s="48"/>
      <c r="N240" s="48"/>
      <c r="O240" s="48"/>
      <c r="P240" s="48"/>
      <c r="Q240" s="48"/>
      <c r="R240" s="48"/>
      <c r="S240" s="48"/>
      <c r="T240" s="48"/>
    </row>
    <row r="241" spans="1:20" ht="12.75" customHeight="1">
      <c r="A241" s="498" t="str">
        <f>Data!A58</f>
        <v>Noncontrolling interests</v>
      </c>
      <c r="B241" s="522">
        <f>IF(Data!C58/Data!C$33=0,"",Data!C58/Data!C$33)</f>
        <v>3.2606923536764308E-4</v>
      </c>
      <c r="C241" s="522">
        <f>IF(Data!D58/Data!D$33=0,"",Data!D58/Data!D$33)</f>
        <v>6.6916488222698068E-4</v>
      </c>
      <c r="D241" s="522">
        <f>IF(Data!E58/Data!E$33=0,"",Data!E58/Data!E$33)</f>
        <v>1.823439005965251E-4</v>
      </c>
      <c r="E241" s="522">
        <f>IF(Data!F58/Data!F$33=0,"",Data!F58/Data!F$33)</f>
        <v>1.5809688549135584E-4</v>
      </c>
      <c r="F241" s="522">
        <f>IF(Data!G58/Data!G$33=0,"",Data!G58/Data!G$33)</f>
        <v>1.4462280364160222E-4</v>
      </c>
      <c r="R241" s="48"/>
      <c r="S241" s="48"/>
      <c r="T241" s="48"/>
    </row>
    <row r="242" spans="1:20" ht="12.75" customHeight="1">
      <c r="A242" s="517" t="str">
        <f>Data!A59</f>
        <v xml:space="preserve">  Total Equity</v>
      </c>
      <c r="B242" s="521">
        <f>IF(Data!C59/Data!C$33=0,"",Data!C59/Data!C$33)</f>
        <v>0.59606814847019185</v>
      </c>
      <c r="C242" s="521">
        <f>IF(Data!D59/Data!D$33=0,"",Data!D59/Data!D$33)</f>
        <v>0.62226250729998045</v>
      </c>
      <c r="D242" s="521">
        <f>IF(Data!E59/Data!E$33=0,"",Data!E59/Data!E$33)</f>
        <v>0.38920003125895453</v>
      </c>
      <c r="E242" s="521">
        <f>IF(Data!F59/Data!F$33=0,"",Data!F59/Data!F$33)</f>
        <v>0.49044443824456674</v>
      </c>
      <c r="F242" s="521">
        <f>IF(Data!G59/Data!G$33=0,"",Data!G59/Data!G$33)</f>
        <v>0.46759766257410929</v>
      </c>
      <c r="G242" s="48"/>
      <c r="H242" s="48"/>
      <c r="I242" s="48"/>
      <c r="J242" s="48"/>
      <c r="K242" s="48"/>
      <c r="L242" s="48"/>
      <c r="M242" s="48"/>
      <c r="N242" s="48"/>
      <c r="O242" s="48"/>
      <c r="P242" s="48"/>
      <c r="Q242" s="48"/>
      <c r="R242" s="48"/>
      <c r="S242" s="48"/>
      <c r="T242" s="48"/>
    </row>
    <row r="243" spans="1:20" ht="12.75" customHeight="1">
      <c r="A243" s="517" t="str">
        <f>Data!A60</f>
        <v xml:space="preserve">  Total Liabilities and Equities</v>
      </c>
      <c r="B243" s="521">
        <f>IF(Data!C60/Data!C$33=0,"",Data!C60/Data!C$33)</f>
        <v>1.0000000000000002</v>
      </c>
      <c r="C243" s="521">
        <f>IF(Data!D60/Data!D$33=0,"",Data!D60/Data!D$33)</f>
        <v>1</v>
      </c>
      <c r="D243" s="521">
        <f>IF(Data!E60/Data!E$33=0,"",Data!E60/Data!E$33)</f>
        <v>1.0000000000000002</v>
      </c>
      <c r="E243" s="521">
        <f>IF(Data!F60/Data!F$33=0,"",Data!F60/Data!F$33)</f>
        <v>1.0000000000000004</v>
      </c>
      <c r="F243" s="521">
        <f>IF(Data!G60/Data!G$33=0,"",Data!G60/Data!G$33)</f>
        <v>0.99999437577985872</v>
      </c>
      <c r="G243" s="48"/>
      <c r="H243" s="48"/>
      <c r="I243" s="48"/>
      <c r="K243" s="48"/>
      <c r="L243" s="48"/>
      <c r="M243" s="48"/>
      <c r="N243" s="48"/>
      <c r="O243" s="48"/>
      <c r="P243" s="48"/>
      <c r="Q243" s="48"/>
    </row>
    <row r="244" spans="1:20" ht="12.75" customHeight="1">
      <c r="A244" s="97"/>
      <c r="B244" s="131"/>
      <c r="C244" s="131"/>
      <c r="D244" s="131"/>
      <c r="E244" s="131"/>
      <c r="F244" s="131"/>
      <c r="G244" s="48"/>
      <c r="H244" s="48"/>
      <c r="I244" s="48"/>
      <c r="K244" s="48"/>
      <c r="L244" s="48"/>
      <c r="M244" s="48"/>
      <c r="N244" s="48"/>
      <c r="O244" s="48"/>
      <c r="P244" s="48"/>
      <c r="Q244" s="48"/>
    </row>
    <row r="245" spans="1:20" ht="12.75" customHeight="1" thickBot="1">
      <c r="A245" s="52"/>
      <c r="B245" s="131"/>
      <c r="C245" s="131"/>
      <c r="D245" s="131"/>
      <c r="E245" s="131"/>
      <c r="F245" s="131"/>
      <c r="G245" s="48"/>
      <c r="H245" s="48"/>
      <c r="I245" s="48"/>
      <c r="K245" s="48"/>
      <c r="L245" s="48"/>
      <c r="M245" s="48"/>
      <c r="N245" s="48"/>
      <c r="O245" s="48"/>
      <c r="P245" s="48"/>
      <c r="Q245" s="48"/>
      <c r="R245" s="48"/>
      <c r="S245" s="48"/>
      <c r="T245" s="48"/>
    </row>
    <row r="246" spans="1:20" ht="12.75" customHeight="1" thickBot="1">
      <c r="A246" s="103" t="s">
        <v>21</v>
      </c>
      <c r="B246" s="132"/>
      <c r="C246" s="132"/>
      <c r="D246" s="132"/>
      <c r="E246" s="132"/>
      <c r="F246" s="132"/>
      <c r="G246" s="133"/>
      <c r="H246" s="48"/>
      <c r="I246" s="48"/>
      <c r="J246" s="109" t="s">
        <v>501</v>
      </c>
      <c r="K246" s="48"/>
      <c r="L246" s="48"/>
      <c r="M246" s="48"/>
      <c r="N246" s="48"/>
      <c r="O246" s="48"/>
      <c r="P246" s="48"/>
      <c r="Q246" s="48"/>
      <c r="R246" s="48"/>
      <c r="S246" s="48"/>
    </row>
    <row r="247" spans="1:20" ht="12.75" customHeight="1" thickBot="1">
      <c r="A247" s="76" t="s">
        <v>18</v>
      </c>
      <c r="B247" s="77">
        <f>Data!$C$11</f>
        <v>2011</v>
      </c>
      <c r="C247" s="77">
        <f>Data!$D$11</f>
        <v>2012</v>
      </c>
      <c r="D247" s="77">
        <f>Data!$E$11</f>
        <v>2013</v>
      </c>
      <c r="E247" s="77">
        <f>Data!$F$11</f>
        <v>2014</v>
      </c>
      <c r="F247" s="77">
        <f>Data!$G$11</f>
        <v>2015</v>
      </c>
      <c r="G247" s="77"/>
    </row>
    <row r="248" spans="1:20" ht="12.75" customHeight="1">
      <c r="A248" s="70"/>
      <c r="B248" s="134"/>
      <c r="C248" s="135"/>
      <c r="D248" s="134"/>
      <c r="E248" s="135"/>
      <c r="F248" s="136"/>
      <c r="G248" s="137" t="s">
        <v>454</v>
      </c>
      <c r="H248" s="48"/>
      <c r="I248" s="48"/>
      <c r="J248" s="48"/>
      <c r="K248" s="48"/>
      <c r="L248" s="48"/>
      <c r="M248" s="48"/>
      <c r="N248" s="48"/>
      <c r="O248" s="48"/>
      <c r="P248" s="48"/>
      <c r="Q248" s="48"/>
      <c r="R248" s="48"/>
      <c r="S248" s="48"/>
    </row>
    <row r="249" spans="1:20" ht="12.75" customHeight="1">
      <c r="A249" s="80"/>
      <c r="B249" s="134"/>
      <c r="C249" s="135"/>
      <c r="D249" s="135"/>
      <c r="E249" s="135"/>
      <c r="F249" s="136"/>
      <c r="G249" s="137" t="s">
        <v>455</v>
      </c>
      <c r="H249" s="48"/>
      <c r="I249" s="48"/>
      <c r="J249" s="48"/>
      <c r="K249" s="48"/>
      <c r="L249" s="48"/>
      <c r="M249" s="48"/>
      <c r="N249" s="48"/>
      <c r="O249" s="48"/>
      <c r="P249" s="48"/>
      <c r="Q249" s="48"/>
      <c r="R249" s="48"/>
      <c r="S249" s="48"/>
    </row>
    <row r="250" spans="1:20" ht="12.75" customHeight="1">
      <c r="A250" s="31" t="str">
        <f>Data!A15</f>
        <v>Assets:</v>
      </c>
      <c r="B250" s="118" t="s">
        <v>358</v>
      </c>
      <c r="C250" s="137"/>
      <c r="D250" s="137"/>
      <c r="E250" s="135"/>
      <c r="F250" s="136"/>
      <c r="G250" s="137" t="s">
        <v>456</v>
      </c>
      <c r="H250" s="48"/>
      <c r="I250" s="48"/>
      <c r="J250" s="48"/>
      <c r="K250" s="48"/>
      <c r="L250" s="48"/>
      <c r="M250" s="48"/>
      <c r="N250" s="48"/>
      <c r="O250" s="48"/>
      <c r="P250" s="48"/>
      <c r="Q250" s="48"/>
      <c r="R250" s="48"/>
      <c r="S250" s="48"/>
    </row>
    <row r="251" spans="1:20" ht="12.75" customHeight="1">
      <c r="A251" s="81" t="str">
        <f>Data!A16</f>
        <v>Cash and cash equivalents</v>
      </c>
      <c r="B251" s="126">
        <f>IF(ISERROR(Data!C16/Data!B16-1),"",Data!C16/Data!B16-1)</f>
        <v>-1.3659793814433052E-2</v>
      </c>
      <c r="C251" s="126">
        <f>IF(ISERROR(Data!D16/Data!C16-1),"",Data!D16/Data!C16-1)</f>
        <v>3.5275672850797024E-2</v>
      </c>
      <c r="D251" s="126">
        <f>IF(ISERROR(Data!E16/Data!D16-1),"",Data!E16/Data!D16-1)</f>
        <v>1.1670031970385328</v>
      </c>
      <c r="E251" s="126">
        <f>IF(ISERROR(Data!F16/Data!E16-1),"",Data!F16/Data!E16-1)</f>
        <v>-0.33672399735994085</v>
      </c>
      <c r="F251" s="126">
        <f>IF(ISERROR(Data!G16/Data!F16-1),"",Data!G16/Data!F16-1)</f>
        <v>-0.10436665886209329</v>
      </c>
      <c r="G251" s="126">
        <f>IF(ISERROR((Data!G16/Data!B16)^(1/5)-1),"",(Data!G16/Data!B16)^(1/5)-1)</f>
        <v>5.6217519753572143E-2</v>
      </c>
      <c r="J251" s="48" t="s">
        <v>359</v>
      </c>
    </row>
    <row r="252" spans="1:20" ht="12.75" customHeight="1">
      <c r="A252" s="81" t="str">
        <f>Data!A17</f>
        <v>Short-term investments</v>
      </c>
      <c r="B252" s="126">
        <f>IF(ISERROR(Data!C17/Data!B17-1),"",Data!C17/Data!B17-1)</f>
        <v>2.159257962898145</v>
      </c>
      <c r="C252" s="126">
        <f>IF(ISERROR(Data!D17/Data!C17-1),"",Data!D17/Data!C17-1)</f>
        <v>-6.0048748061156676E-2</v>
      </c>
      <c r="D252" s="126">
        <f>IF(ISERROR(Data!E17/Data!D17-1),"",Data!E17/Data!D17-1)</f>
        <v>-0.22430457331447429</v>
      </c>
      <c r="E252" s="126">
        <f>IF(ISERROR(Data!F17/Data!E17-1),"",Data!F17/Data!E17-1)</f>
        <v>-0.79425619206807474</v>
      </c>
      <c r="F252" s="126">
        <f>IF(ISERROR(Data!G17/Data!F17-1),"",Data!G17/Data!F17-1)</f>
        <v>-0.39955686853766625</v>
      </c>
      <c r="G252" s="126">
        <f>IF(ISERROR((Data!G17/Data!B17)^(1/5)-1),"",(Data!G17/Data!B17)^(1/5)-1)</f>
        <v>-0.22225708941730871</v>
      </c>
      <c r="H252" s="48"/>
      <c r="I252" s="48"/>
      <c r="J252" s="48" t="s">
        <v>360</v>
      </c>
      <c r="K252" s="48"/>
      <c r="L252" s="48"/>
      <c r="M252" s="48"/>
      <c r="N252" s="48"/>
      <c r="O252" s="48"/>
      <c r="P252" s="48"/>
      <c r="Q252" s="48"/>
      <c r="R252" s="48"/>
      <c r="S252" s="48"/>
    </row>
    <row r="253" spans="1:20" ht="12.75" customHeight="1">
      <c r="A253" s="81" t="str">
        <f>Data!A18</f>
        <v>Accounts and notes receivable - net</v>
      </c>
      <c r="B253" s="126">
        <f>IF(ISERROR(Data!C18/Data!B18-1),"",Data!C18/Data!B18-1)</f>
        <v>0.27684175751569207</v>
      </c>
      <c r="C253" s="126">
        <f>IF(ISERROR(Data!D18/Data!C18-1),"",Data!D18/Data!C18-1)</f>
        <v>0.25717981888745145</v>
      </c>
      <c r="D253" s="126">
        <f>IF(ISERROR(Data!E18/Data!D18-1),"",Data!E18/Data!D18-1)</f>
        <v>0.15538176579543106</v>
      </c>
      <c r="E253" s="126">
        <f>IF(ISERROR(Data!F18/Data!E18-1),"",Data!F18/Data!E18-1)</f>
        <v>0.12397577484859279</v>
      </c>
      <c r="F253" s="126">
        <f>IF(ISERROR(Data!G18/Data!F18-1),"",Data!G18/Data!F18-1)</f>
        <v>0.13946117274167991</v>
      </c>
      <c r="G253" s="126">
        <f>IF(ISERROR((Data!G18/Data!B18)^(1/5)-1),"",(Data!G18/Data!B18)^(1/5)-1)</f>
        <v>0.18889443412573881</v>
      </c>
      <c r="H253" s="48"/>
      <c r="I253" s="48"/>
      <c r="J253" s="48"/>
      <c r="K253" s="48"/>
      <c r="L253" s="48"/>
      <c r="M253" s="48"/>
      <c r="N253" s="48"/>
      <c r="O253" s="48"/>
      <c r="P253" s="48"/>
      <c r="Q253" s="48"/>
      <c r="R253" s="48"/>
      <c r="S253" s="48"/>
    </row>
    <row r="254" spans="1:20" ht="12.75" customHeight="1">
      <c r="A254" s="81" t="str">
        <f>Data!A19</f>
        <v>Inventories</v>
      </c>
      <c r="B254" s="126">
        <f>IF(ISERROR(Data!C19/Data!B19-1),"",Data!C19/Data!B19-1)</f>
        <v>0.77765507086324326</v>
      </c>
      <c r="C254" s="126">
        <f>IF(ISERROR(Data!D19/Data!C19-1),"",Data!D19/Data!C19-1)</f>
        <v>0.28546282874301099</v>
      </c>
      <c r="D254" s="126">
        <f>IF(ISERROR(Data!E19/Data!D19-1),"",Data!E19/Data!D19-1)</f>
        <v>-0.10495368505839708</v>
      </c>
      <c r="E254" s="126">
        <f>IF(ISERROR(Data!F19/Data!E19-1),"",Data!F19/Data!E19-1)</f>
        <v>-1.8268538516918564E-2</v>
      </c>
      <c r="F254" s="126">
        <f>IF(ISERROR(Data!G19/Data!F19-1),"",Data!G19/Data!F19-1)</f>
        <v>0.19754331286094051</v>
      </c>
      <c r="G254" s="126">
        <f>IF(ISERROR((Data!G19/Data!B19)^(1/5)-1),"",(Data!G19/Data!B19)^(1/5)-1)</f>
        <v>0.19181073612720412</v>
      </c>
      <c r="H254" s="48"/>
      <c r="I254" s="48"/>
      <c r="J254" s="48"/>
      <c r="K254" s="48"/>
      <c r="L254" s="48"/>
      <c r="M254" s="48"/>
      <c r="N254" s="48"/>
      <c r="O254" s="48"/>
      <c r="P254" s="48"/>
      <c r="Q254" s="48"/>
      <c r="R254" s="48"/>
      <c r="S254" s="48"/>
    </row>
    <row r="255" spans="1:20" ht="12.75" customHeight="1">
      <c r="A255" s="81" t="str">
        <f>Data!A20</f>
        <v>Prepaid expenses and other current assets</v>
      </c>
      <c r="B255" s="126">
        <f>IF(ISERROR(Data!C20/Data!B20-1),"",Data!C20/Data!B20-1)</f>
        <v>3.1948881789137351E-2</v>
      </c>
      <c r="C255" s="126">
        <f>IF(ISERROR(Data!D20/Data!C20-1),"",Data!D20/Data!C20-1)</f>
        <v>0.21671826625387003</v>
      </c>
      <c r="D255" s="126">
        <f>IF(ISERROR(Data!E20/Data!D20-1),"",Data!E20/Data!D20-1)</f>
        <v>0.46412213740458008</v>
      </c>
      <c r="E255" s="126">
        <f>IF(ISERROR(Data!F20/Data!E20-1),"",Data!F20/Data!E20-1)</f>
        <v>-7.2992700729925808E-3</v>
      </c>
      <c r="F255" s="126">
        <f>IF(ISERROR(Data!G20/Data!F20-1),"",Data!G20/Data!F20-1)</f>
        <v>0.1701680672268906</v>
      </c>
      <c r="G255" s="126">
        <f>IF(ISERROR((Data!G20/Data!B20)^(1/5)-1),"",(Data!G20/Data!B20)^(1/5)-1)</f>
        <v>0.16385377810797386</v>
      </c>
    </row>
    <row r="256" spans="1:20" ht="12.75" customHeight="1">
      <c r="A256" s="81" t="str">
        <f>Data!A21</f>
        <v>Deferred income taxes - current</v>
      </c>
      <c r="B256" s="126">
        <f>IF(ISERROR(Data!C21/Data!B21-1),"",Data!C21/Data!B21-1)</f>
        <v>-0.24260355029585789</v>
      </c>
      <c r="C256" s="126">
        <f>IF(ISERROR(Data!D21/Data!C21-1),"",Data!D21/Data!C21-1)</f>
        <v>3.602430555555558E-2</v>
      </c>
      <c r="D256" s="126">
        <f>IF(ISERROR(Data!E21/Data!D21-1),"",Data!E21/Data!D21-1)</f>
        <v>0.16170925848345208</v>
      </c>
      <c r="E256" s="126">
        <f>IF(ISERROR(Data!F21/Data!E21-1),"",Data!F21/Data!E21-1)</f>
        <v>0.1446087270104579</v>
      </c>
      <c r="F256" s="126">
        <f>IF(ISERROR(Data!G21/Data!F21-1),"",Data!G21/Data!F21-1)</f>
        <v>0.20280403276622572</v>
      </c>
      <c r="G256" s="126">
        <f>IF(ISERROR((Data!G21/Data!B21)^(1/5)-1),"",(Data!G21/Data!B21)^(1/5)-1)</f>
        <v>4.6474180796208353E-2</v>
      </c>
      <c r="H256" s="48"/>
      <c r="I256" s="48"/>
      <c r="J256" s="48"/>
      <c r="K256" s="48"/>
      <c r="L256" s="48"/>
      <c r="M256" s="48"/>
      <c r="N256" s="48"/>
      <c r="O256" s="48"/>
      <c r="P256" s="48"/>
      <c r="Q256" s="48"/>
      <c r="R256" s="48"/>
      <c r="S256" s="48"/>
    </row>
    <row r="257" spans="1:19" ht="12.75" customHeight="1">
      <c r="A257" s="81" t="str">
        <f>Data!A22</f>
        <v>Other current assets (1)</v>
      </c>
      <c r="B257" s="126" t="str">
        <f>IF(ISERROR(Data!C22/Data!B22-1),"",Data!C22/Data!B22-1)</f>
        <v/>
      </c>
      <c r="C257" s="126" t="str">
        <f>IF(ISERROR(Data!D22/Data!C22-1),"",Data!D22/Data!C22-1)</f>
        <v/>
      </c>
      <c r="D257" s="126" t="str">
        <f>IF(ISERROR(Data!E22/Data!D22-1),"",Data!E22/Data!D22-1)</f>
        <v/>
      </c>
      <c r="E257" s="126" t="str">
        <f>IF(ISERROR(Data!F22/Data!E22-1),"",Data!F22/Data!E22-1)</f>
        <v/>
      </c>
      <c r="F257" s="126" t="str">
        <f>IF(ISERROR(Data!G22/Data!F22-1),"",Data!G22/Data!F22-1)</f>
        <v/>
      </c>
      <c r="G257" s="126" t="str">
        <f>IF(ISERROR((Data!G22/Data!B22)^(1/5)-1),"",(Data!G22/Data!B22)^(1/5)-1)</f>
        <v/>
      </c>
      <c r="H257" s="48"/>
      <c r="I257" s="48"/>
      <c r="J257" s="48"/>
      <c r="K257" s="48"/>
      <c r="L257" s="48"/>
      <c r="M257" s="48"/>
      <c r="N257" s="48"/>
      <c r="O257" s="48"/>
      <c r="P257" s="48"/>
      <c r="Q257" s="48"/>
      <c r="R257" s="48"/>
      <c r="S257" s="48"/>
    </row>
    <row r="258" spans="1:19" ht="12.75" customHeight="1">
      <c r="A258" s="81" t="str">
        <f>Data!A23</f>
        <v>Other current assets (2)</v>
      </c>
      <c r="B258" s="126" t="str">
        <f>IF(ISERROR(Data!C23/Data!B23-1),"",Data!C23/Data!B23-1)</f>
        <v/>
      </c>
      <c r="C258" s="126" t="str">
        <f>IF(ISERROR(Data!D23/Data!C23-1),"",Data!D23/Data!C23-1)</f>
        <v/>
      </c>
      <c r="D258" s="126" t="str">
        <f>IF(ISERROR(Data!E23/Data!D23-1),"",Data!E23/Data!D23-1)</f>
        <v/>
      </c>
      <c r="E258" s="126" t="str">
        <f>IF(ISERROR(Data!F23/Data!E23-1),"",Data!F23/Data!E23-1)</f>
        <v/>
      </c>
      <c r="F258" s="126" t="str">
        <f>IF(ISERROR(Data!G23/Data!F23-1),"",Data!G23/Data!F23-1)</f>
        <v/>
      </c>
      <c r="G258" s="126" t="str">
        <f>IF(ISERROR((Data!G23/Data!B23)^(1/5)-1),"",(Data!G23/Data!B23)^(1/5)-1)</f>
        <v/>
      </c>
      <c r="H258" s="48"/>
      <c r="I258" s="48"/>
      <c r="J258" s="48"/>
      <c r="K258" s="48"/>
      <c r="L258" s="48"/>
      <c r="M258" s="48"/>
      <c r="N258" s="48"/>
      <c r="O258" s="48"/>
      <c r="P258" s="48"/>
      <c r="Q258" s="48"/>
      <c r="R258" s="48"/>
      <c r="S258" s="48"/>
    </row>
    <row r="259" spans="1:19" ht="12.75" customHeight="1">
      <c r="A259" s="517" t="str">
        <f>Data!A24</f>
        <v xml:space="preserve">  Current Assets</v>
      </c>
      <c r="B259" s="521">
        <f>IF(ISERROR(Data!C24/Data!B24-1),"",Data!C24/Data!B24-1)</f>
        <v>0.376759541430852</v>
      </c>
      <c r="C259" s="521">
        <f>IF(ISERROR(Data!D24/Data!C24-1),"",Data!D24/Data!C24-1)</f>
        <v>0.1066431263010883</v>
      </c>
      <c r="D259" s="521">
        <f>IF(ISERROR(Data!E24/Data!D24-1),"",Data!E24/Data!D24-1)</f>
        <v>0.30283836555862442</v>
      </c>
      <c r="E259" s="521">
        <f>IF(ISERROR(Data!F24/Data!E24-1),"",Data!F24/Data!E24-1)</f>
        <v>-0.23809262711554624</v>
      </c>
      <c r="F259" s="521">
        <f>IF(ISERROR(Data!G24/Data!F24-1),"",Data!G24/Data!F24-1)</f>
        <v>4.4155252236908415E-2</v>
      </c>
      <c r="G259" s="521">
        <f>IF(ISERROR((Data!G24/Data!B24)^(1/5)-1),"",(Data!G24/Data!B24)^(1/5)-1)</f>
        <v>9.5682425420495765E-2</v>
      </c>
    </row>
    <row r="260" spans="1:19" ht="12.75" customHeight="1">
      <c r="A260" s="4" t="str">
        <f>Data!A25</f>
        <v>Long-term investments</v>
      </c>
      <c r="B260" s="126">
        <f>IF(ISERROR(Data!C25/Data!B25-1),"",Data!C25/Data!B25-1)</f>
        <v>-0.4421272158498436</v>
      </c>
      <c r="C260" s="126">
        <f>IF(ISERROR(Data!D25/Data!C25-1),"",Data!D25/Data!C25-1)</f>
        <v>8.4112149532710179E-2</v>
      </c>
      <c r="D260" s="126">
        <f>IF(ISERROR(Data!E25/Data!D25-1),"",Data!E25/Data!D25-1)</f>
        <v>-0.49741379310344835</v>
      </c>
      <c r="E260" s="126">
        <f>IF(ISERROR(Data!F25/Data!E25-1),"",Data!F25/Data!E25-1)</f>
        <v>4.4614065180102918</v>
      </c>
      <c r="F260" s="126">
        <f>IF(ISERROR(Data!G25/Data!F25-1),"",Data!G25/Data!F25-1)</f>
        <v>-1.8530150753768737E-2</v>
      </c>
      <c r="G260" s="126">
        <f>IF(ISERROR((Data!G25/Data!B25)^(1/5)-1),"",(Data!G25/Data!B26)^(1/5)-1)</f>
        <v>-1.7592062546906817E-2</v>
      </c>
      <c r="H260" s="48"/>
      <c r="I260" s="48"/>
      <c r="J260" s="48"/>
      <c r="K260" s="48"/>
      <c r="L260" s="48"/>
      <c r="M260" s="48"/>
      <c r="N260" s="48"/>
      <c r="O260" s="48"/>
      <c r="P260" s="48"/>
      <c r="Q260" s="48"/>
      <c r="R260" s="48"/>
      <c r="S260" s="48"/>
    </row>
    <row r="261" spans="1:19" ht="12.75" customHeight="1">
      <c r="A261" s="4" t="str">
        <f>Data!A26</f>
        <v xml:space="preserve">Equity and cost investments </v>
      </c>
      <c r="B261" s="126">
        <f>IF(ISERROR(Data!C26/Data!B26-1),"",Data!C26/Data!B26-1)</f>
        <v>9.0190336749633948E-2</v>
      </c>
      <c r="C261" s="126">
        <f>IF(ISERROR(Data!D26/Data!C26-1),"",Data!D26/Data!C26-1)</f>
        <v>0.23529411764705865</v>
      </c>
      <c r="D261" s="126">
        <f>IF(ISERROR(Data!E26/Data!D26-1),"",Data!E26/Data!D26-1)</f>
        <v>7.9582517938682429E-2</v>
      </c>
      <c r="E261" s="126">
        <f>IF(ISERROR(Data!F26/Data!E26-1),"",Data!F26/Data!E26-1)</f>
        <v>3.7059415911379512E-2</v>
      </c>
      <c r="F261" s="126">
        <f>IF(ISERROR(Data!G26/Data!F26-1),"",Data!G26/Data!F26-1)</f>
        <v>-0.31637211108953189</v>
      </c>
      <c r="G261" s="126">
        <f>IF(ISERROR((Data!G26/Data!B26)^(1/5)-1),"",(Data!G26/Data!B27)^(1/5)-1)</f>
        <v>-0.43074789302223815</v>
      </c>
      <c r="H261" s="48"/>
      <c r="I261" s="48"/>
      <c r="J261" s="48"/>
      <c r="K261" s="48"/>
      <c r="L261" s="48"/>
      <c r="M261" s="48"/>
      <c r="N261" s="48"/>
      <c r="O261" s="48"/>
      <c r="P261" s="48"/>
      <c r="Q261" s="48"/>
      <c r="R261" s="48"/>
      <c r="S261" s="48"/>
    </row>
    <row r="262" spans="1:19" ht="12.75" customHeight="1">
      <c r="A262" s="4" t="str">
        <f>Data!A27</f>
        <v>Property, plant, and equipment - at cost</v>
      </c>
      <c r="B262" s="126">
        <f>IF(ISERROR(Data!C27/Data!B27-1),"",Data!C27/Data!B27-1)</f>
        <v>4.6597721058977415E-2</v>
      </c>
      <c r="C262" s="126">
        <f>IF(ISERROR(Data!D27/Data!C27-1),"",Data!D27/Data!C27-1)</f>
        <v>0.12006944557122234</v>
      </c>
      <c r="D262" s="126">
        <f>IF(ISERROR(Data!E27/Data!D27-1),"",Data!E27/Data!D27-1)</f>
        <v>0.12733409627558623</v>
      </c>
      <c r="E262" s="126">
        <f>IF(ISERROR(Data!F27/Data!E27-1),"",Data!F27/Data!E27-1)</f>
        <v>0.10267151540072739</v>
      </c>
      <c r="F262" s="126">
        <f>IF(ISERROR(Data!G27/Data!F27-1),"",Data!G27/Data!F27-1)</f>
        <v>0.12360886133479387</v>
      </c>
      <c r="G262" s="126">
        <f>IF(ISERROR((Data!G27/Data!B27)^(1/5)-1),"",(Data!G27/Data!B28)^(1/5)-1)</f>
        <v>-2.2266217952342808</v>
      </c>
      <c r="H262" s="48"/>
      <c r="I262" s="48"/>
      <c r="J262" s="48"/>
      <c r="K262" s="48"/>
      <c r="L262" s="48"/>
      <c r="M262" s="48"/>
      <c r="N262" s="48"/>
      <c r="O262" s="48"/>
      <c r="P262" s="48"/>
      <c r="Q262" s="48"/>
      <c r="R262" s="48"/>
      <c r="S262" s="48"/>
    </row>
    <row r="263" spans="1:19" ht="12.75" customHeight="1">
      <c r="A263" s="4" t="str">
        <f>Data!A28</f>
        <v>&lt;Accumulated depreciation&gt;</v>
      </c>
      <c r="B263" s="126">
        <f>IF(ISERROR(Data!C28/Data!B28-1),"",Data!C28/Data!B28-1)</f>
        <v>9.6739819134842531E-2</v>
      </c>
      <c r="C263" s="126">
        <f>IF(ISERROR(Data!D28/Data!C28-1),"",Data!D28/Data!C28-1)</f>
        <v>0.11451905149549635</v>
      </c>
      <c r="D263" s="126">
        <f>IF(ISERROR(Data!E28/Data!D28-1),"",Data!E28/Data!D28-1)</f>
        <v>7.9496724942274222E-2</v>
      </c>
      <c r="E263" s="126">
        <f>IF(ISERROR(Data!F28/Data!E28-1),"",Data!F28/Data!E28-1)</f>
        <v>0.10487602584250033</v>
      </c>
      <c r="F263" s="126">
        <f>IF(ISERROR(Data!G28/Data!F28-1),"",Data!G28/Data!F28-1)</f>
        <v>9.707433673771737E-2</v>
      </c>
      <c r="G263" s="126">
        <f>IF(ISERROR((Data!G28/Data!B28)^(1/5)-1),"",(Data!G28/Data!B29)^(1/5)-1)</f>
        <v>-2.9533177950662042</v>
      </c>
    </row>
    <row r="264" spans="1:19" ht="12.75" customHeight="1">
      <c r="A264" s="4" t="str">
        <f>Data!A29</f>
        <v>Deferred income taxes - noncurrent</v>
      </c>
      <c r="B264" s="126">
        <f>IF(ISERROR(Data!C29/Data!B29-1),"",Data!C29/Data!B29-1)</f>
        <v>-0.19969278033794158</v>
      </c>
      <c r="C264" s="126">
        <f>IF(ISERROR(Data!D29/Data!C29-1),"",Data!D29/Data!C29-1)</f>
        <v>-0.3774792066538708</v>
      </c>
      <c r="D264" s="126">
        <f>IF(ISERROR(Data!E29/Data!D29-1),"",Data!E29/Data!D29-1)</f>
        <v>8.9383350462487154</v>
      </c>
      <c r="E264" s="126">
        <f>IF(ISERROR(Data!F29/Data!E29-1),"",Data!F29/Data!E29-1)</f>
        <v>-6.5873836608066227E-2</v>
      </c>
      <c r="F264" s="126">
        <f>IF(ISERROR(Data!G29/Data!F29-1),"",Data!G29/Data!F29-1)</f>
        <v>-8.2364662902690067E-2</v>
      </c>
      <c r="G264" s="126">
        <f>IF(ISERROR((Data!G29/Data!B29)^(1/5)-1),"",(Data!G29/Data!B30)^(1/5)-1)</f>
        <v>0.40536802975447661</v>
      </c>
      <c r="H264" s="48"/>
      <c r="I264" s="48"/>
      <c r="J264" s="48"/>
      <c r="K264" s="48"/>
      <c r="L264" s="48"/>
      <c r="M264" s="48"/>
      <c r="N264" s="48"/>
      <c r="O264" s="48"/>
      <c r="P264" s="48"/>
      <c r="Q264" s="48"/>
      <c r="R264" s="48"/>
      <c r="S264" s="48"/>
    </row>
    <row r="265" spans="1:19" ht="12.75" customHeight="1">
      <c r="A265" s="4" t="str">
        <f>Data!A30</f>
        <v>Other assets</v>
      </c>
      <c r="B265" s="126">
        <f>IF(ISERROR(Data!C30/Data!B30-1),"",Data!C30/Data!B30-1)</f>
        <v>-6.4814814814814659E-2</v>
      </c>
      <c r="C265" s="126">
        <f>IF(ISERROR(Data!D30/Data!C30-1),"",Data!D30/Data!C30-1)</f>
        <v>2.33380480905232E-2</v>
      </c>
      <c r="D265" s="126">
        <f>IF(ISERROR(Data!E30/Data!D30-1),"",Data!E30/Data!D30-1)</f>
        <v>0.28058051140290274</v>
      </c>
      <c r="E265" s="126">
        <f>IF(ISERROR(Data!F30/Data!E30-1),"",Data!F30/Data!E30-1)</f>
        <v>7.3394495412844041E-2</v>
      </c>
      <c r="F265" s="126">
        <f>IF(ISERROR(Data!G30/Data!F30-1),"",Data!G30/Data!F30-1)</f>
        <v>1.0910005027652083</v>
      </c>
      <c r="G265" s="126">
        <f>IF(ISERROR((Data!G30/Data!B30)^(1/5)-1),"",(Data!G30/Data!B31)^(1/5)-1)</f>
        <v>0.42492213369964738</v>
      </c>
      <c r="H265" s="48"/>
      <c r="I265" s="48"/>
      <c r="J265" s="48"/>
      <c r="K265" s="48"/>
      <c r="L265" s="48"/>
      <c r="M265" s="48"/>
      <c r="N265" s="48"/>
      <c r="O265" s="48"/>
      <c r="P265" s="48"/>
      <c r="Q265" s="48"/>
      <c r="R265" s="48"/>
      <c r="S265" s="48"/>
    </row>
    <row r="266" spans="1:19" ht="12.75" customHeight="1">
      <c r="A266" s="4" t="str">
        <f>Data!A31</f>
        <v>Other intangible assets</v>
      </c>
      <c r="B266" s="126">
        <f>IF(ISERROR(Data!C31/Data!B31-1),"",Data!C31/Data!B31-1)</f>
        <v>0.58050847457627142</v>
      </c>
      <c r="C266" s="126">
        <f>IF(ISERROR(Data!D31/Data!C31-1),"",Data!D31/Data!C31-1)</f>
        <v>0.28418230563002655</v>
      </c>
      <c r="D266" s="126">
        <f>IF(ISERROR(Data!E31/Data!D31-1),"",Data!E31/Data!D31-1)</f>
        <v>0.9123173277661798</v>
      </c>
      <c r="E266" s="126">
        <f>IF(ISERROR(Data!F31/Data!E31-1),"",Data!F31/Data!E31-1)</f>
        <v>-4.7307132459971646E-3</v>
      </c>
      <c r="F266" s="126">
        <f>IF(ISERROR(Data!G31/Data!F31-1),"",Data!G31/Data!F31-1)</f>
        <v>0.90274223034734913</v>
      </c>
      <c r="G266" s="126">
        <f>IF(ISERROR((Data!G31/Data!B31)^(1/5)-1),"",(Data!G31/Data!B32)^(1/5)-1)</f>
        <v>0.14676569156756636</v>
      </c>
      <c r="H266" s="48"/>
      <c r="I266" s="48"/>
      <c r="J266" s="48"/>
      <c r="K266" s="48"/>
      <c r="L266" s="48"/>
      <c r="M266" s="48"/>
      <c r="N266" s="48"/>
      <c r="O266" s="48"/>
      <c r="P266" s="48"/>
      <c r="Q266" s="48"/>
      <c r="R266" s="48"/>
      <c r="S266" s="48"/>
    </row>
    <row r="267" spans="1:19" ht="12.75" customHeight="1">
      <c r="A267" s="4" t="str">
        <f>Data!A32</f>
        <v xml:space="preserve">Goodwill </v>
      </c>
      <c r="B267" s="126">
        <f>IF(ISERROR(Data!C32/Data!B32-1),"",Data!C32/Data!B32-1)</f>
        <v>0.22560975609756118</v>
      </c>
      <c r="C267" s="126">
        <f>IF(ISERROR(Data!D32/Data!C32-1),"",Data!D32/Data!C32-1)</f>
        <v>0.24098258706467668</v>
      </c>
      <c r="D267" s="126">
        <f>IF(ISERROR(Data!E32/Data!D32-1),"",Data!E32/Data!D32-1)</f>
        <v>1.1621147582059632</v>
      </c>
      <c r="E267" s="126">
        <f>IF(ISERROR(Data!F32/Data!E32-1),"",Data!F32/Data!E32-1)</f>
        <v>-7.764515007532613E-3</v>
      </c>
      <c r="F267" s="126">
        <f>IF(ISERROR(Data!G32/Data!F32-1),"",Data!G32/Data!F32-1)</f>
        <v>0.8399906563886943</v>
      </c>
      <c r="G267" s="126">
        <f>IF(ISERROR((Data!G32/Data!B32)^(1/5)-1),"",(Data!G32/Data!B33)^(1/5)-1)</f>
        <v>-0.24415325781096409</v>
      </c>
      <c r="H267" s="48"/>
      <c r="I267" s="48"/>
      <c r="J267" s="48"/>
      <c r="K267" s="48"/>
      <c r="L267" s="48"/>
      <c r="M267" s="48"/>
      <c r="N267" s="48"/>
      <c r="O267" s="48"/>
      <c r="P267" s="48"/>
      <c r="Q267" s="48"/>
      <c r="R267" s="48"/>
      <c r="S267" s="48"/>
    </row>
    <row r="268" spans="1:19" ht="12.75" customHeight="1">
      <c r="A268" s="523" t="str">
        <f>Data!A33</f>
        <v xml:space="preserve">   Total Assets</v>
      </c>
      <c r="B268" s="521">
        <f>IF(ISERROR(Data!C33/Data!B33-1),"",Data!C33/Data!B33-1)</f>
        <v>0.15260182589768068</v>
      </c>
      <c r="C268" s="521">
        <f>IF(ISERROR(Data!D33/Data!C33-1),"",Data!D33/Data!C33-1)</f>
        <v>0.11667844138905514</v>
      </c>
      <c r="D268" s="521">
        <f>IF(ISERROR(Data!E33/Data!D33-1),"",Data!E33/Data!D33-1)</f>
        <v>0.40119476348063032</v>
      </c>
      <c r="E268" s="521">
        <f>IF(ISERROR(Data!F33/Data!E33-1),"",Data!F33/Data!E33-1)</f>
        <v>-6.6321081559821748E-2</v>
      </c>
      <c r="F268" s="521">
        <f>IF(ISERROR(Data!G33/Data!F33-1),"",Data!G33/Data!F33-1)</f>
        <v>0.15747100782114609</v>
      </c>
      <c r="G268" s="521">
        <f>IF(ISERROR((Data!G33/Data!B33)^(1/5)-1),"",(Data!G33/Data!B33)^(1/5)-1)</f>
        <v>0.14278024190685312</v>
      </c>
      <c r="H268" s="48"/>
      <c r="I268" s="48"/>
      <c r="J268" s="48"/>
      <c r="K268" s="48"/>
      <c r="L268" s="48"/>
      <c r="M268" s="48"/>
      <c r="N268" s="48"/>
      <c r="O268" s="48"/>
      <c r="P268" s="48"/>
      <c r="Q268" s="48"/>
      <c r="R268" s="48"/>
      <c r="S268" s="48"/>
    </row>
    <row r="269" spans="1:19" customFormat="1" ht="12.75" customHeight="1"/>
    <row r="270" spans="1:19" ht="12.75" customHeight="1">
      <c r="A270" s="517" t="str">
        <f>Data!A35</f>
        <v>Liabilities and Equities:</v>
      </c>
      <c r="B270" s="524" t="str">
        <f>IF(ISERROR(Data!C35/Data!B35-1),"",Data!C35/Data!B35-1)</f>
        <v/>
      </c>
      <c r="C270" s="524" t="str">
        <f>IF(ISERROR(Data!D35/Data!C35-1),"",Data!D35/Data!C35-1)</f>
        <v/>
      </c>
      <c r="D270" s="524" t="str">
        <f>IF(ISERROR(Data!E35/Data!D35-1),"",Data!E35/Data!D35-1)</f>
        <v/>
      </c>
      <c r="E270" s="524" t="str">
        <f>IF(ISERROR(Data!F35/Data!E35-1),"",Data!F35/Data!E35-1)</f>
        <v/>
      </c>
      <c r="F270" s="524" t="str">
        <f>IF(ISERROR(Data!G35/Data!F35-1),"",Data!G35/Data!F35-1)</f>
        <v/>
      </c>
      <c r="G270" s="524" t="str">
        <f>IF(ISERROR((Data!G35/Data!B35)^(1/5)-1),"",(Data!G35/Data!B35)^(1/5)-1)</f>
        <v/>
      </c>
      <c r="H270" s="48"/>
      <c r="I270" s="48"/>
      <c r="J270" s="48"/>
      <c r="K270" s="48"/>
      <c r="L270" s="48"/>
      <c r="M270" s="48"/>
      <c r="N270" s="48"/>
      <c r="O270" s="48"/>
      <c r="P270" s="48"/>
      <c r="Q270" s="48"/>
      <c r="R270" s="48"/>
      <c r="S270" s="48"/>
    </row>
    <row r="271" spans="1:19" ht="12.75" customHeight="1">
      <c r="A271" s="525" t="str">
        <f>Data!A36</f>
        <v>Accounts payable</v>
      </c>
      <c r="B271" s="126">
        <f>IF(ISERROR(Data!C36/Data!B36-1),"",Data!C36/Data!B36-1)</f>
        <v>0.9108280254777068</v>
      </c>
      <c r="C271" s="126">
        <f>IF(ISERROR(Data!D36/Data!C36-1),"",Data!D36/Data!C36-1)</f>
        <v>-0.26277777777777778</v>
      </c>
      <c r="D271" s="126">
        <f>IF(ISERROR(Data!E36/Data!D36-1),"",Data!E36/Data!D36-1)</f>
        <v>0.23511680482290864</v>
      </c>
      <c r="E271" s="126">
        <f>IF(ISERROR(Data!F36/Data!E36-1),"",Data!F36/Data!E36-1)</f>
        <v>8.5417937766931074E-2</v>
      </c>
      <c r="F271" s="126">
        <f>IF(ISERROR(Data!G36/Data!F36-1),"",Data!G36/Data!F36-1)</f>
        <v>0.28199362937980132</v>
      </c>
      <c r="G271" s="126">
        <f>IF(ISERROR((Data!G36/Data!B36)^(1/5)-1),"",(Data!G36/Data!B36)^(1/5)-1)</f>
        <v>0.19344437663165004</v>
      </c>
      <c r="H271" s="48"/>
      <c r="I271" s="48"/>
      <c r="J271" s="48"/>
      <c r="K271" s="48"/>
      <c r="L271" s="48"/>
      <c r="M271" s="48"/>
      <c r="N271" s="48"/>
      <c r="O271" s="48"/>
      <c r="P271" s="48"/>
      <c r="Q271" s="48"/>
      <c r="R271" s="48"/>
      <c r="S271" s="48"/>
    </row>
    <row r="272" spans="1:19" ht="12.75" customHeight="1">
      <c r="A272" s="525" t="str">
        <f>Data!A37</f>
        <v>Accrued liabilities</v>
      </c>
      <c r="B272" s="126">
        <f>IF(ISERROR(Data!C37/Data!B37-1),"",Data!C37/Data!B37-1)</f>
        <v>5.0202948088013954E-3</v>
      </c>
      <c r="C272" s="126">
        <f>IF(ISERROR(Data!D37/Data!C37-1),"",Data!D37/Data!C37-1)</f>
        <v>0.20501647358911668</v>
      </c>
      <c r="D272" s="126">
        <f>IF(ISERROR(Data!E37/Data!D37-1),"",Data!E37/Data!D37-1)</f>
        <v>0.11950961368848123</v>
      </c>
      <c r="E272" s="126">
        <f>IF(ISERROR(Data!F37/Data!E37-1),"",Data!F37/Data!E37-1)</f>
        <v>0.19309855826045874</v>
      </c>
      <c r="F272" s="126">
        <f>IF(ISERROR(Data!G37/Data!F37-1),"",Data!G37/Data!F37-1)</f>
        <v>0.16263866877971478</v>
      </c>
      <c r="G272" s="126">
        <f>IF(ISERROR((Data!G37/Data!B37)^(1/5)-1),"",(Data!G37/Data!B37)^(1/5)-1)</f>
        <v>0.13465373089394816</v>
      </c>
      <c r="H272" s="48"/>
      <c r="I272" s="48"/>
      <c r="J272" s="48"/>
      <c r="K272" s="48"/>
      <c r="L272" s="48"/>
      <c r="M272" s="48"/>
      <c r="N272" s="48"/>
      <c r="O272" s="48"/>
      <c r="P272" s="48"/>
      <c r="Q272" s="48"/>
      <c r="R272" s="48"/>
      <c r="S272" s="48"/>
    </row>
    <row r="273" spans="1:19" ht="12.75" customHeight="1">
      <c r="A273" s="525" t="str">
        <f>Data!A38</f>
        <v>Notes payable and short-term debt</v>
      </c>
      <c r="B273" s="126" t="str">
        <f>IF(ISERROR(Data!C38/Data!B38-1),"",Data!C38/Data!B38-1)</f>
        <v/>
      </c>
      <c r="C273" s="126" t="str">
        <f>IF(ISERROR(Data!D38/Data!C38-1),"",Data!D38/Data!C38-1)</f>
        <v/>
      </c>
      <c r="D273" s="126" t="str">
        <f>IF(ISERROR(Data!E38/Data!D38-1),"",Data!E38/Data!D38-1)</f>
        <v/>
      </c>
      <c r="E273" s="126" t="str">
        <f>IF(ISERROR(Data!F38/Data!E38-1),"",Data!F38/Data!E38-1)</f>
        <v/>
      </c>
      <c r="F273" s="126" t="str">
        <f>IF(ISERROR(Data!G38/Data!F38-1),"",Data!G38/Data!F38-1)</f>
        <v/>
      </c>
      <c r="G273" s="126" t="str">
        <f>IF(ISERROR((Data!G38/Data!B38)^(1/5)-1),"",(Data!G38/Data!B38)^(1/5)-1)</f>
        <v/>
      </c>
      <c r="H273" s="48"/>
      <c r="I273" s="48"/>
      <c r="J273" s="48"/>
      <c r="K273" s="48"/>
      <c r="L273" s="48"/>
      <c r="M273" s="48"/>
      <c r="N273" s="48"/>
      <c r="O273" s="48"/>
      <c r="P273" s="48"/>
      <c r="Q273" s="48"/>
      <c r="R273" s="48"/>
      <c r="S273" s="48"/>
    </row>
    <row r="274" spans="1:19" ht="12.75" customHeight="1">
      <c r="A274" s="525" t="str">
        <f>Data!A39</f>
        <v>Current maturities of long-term debt</v>
      </c>
      <c r="B274" s="126" t="str">
        <f>IF(ISERROR(Data!C39/Data!B39-1),"",Data!C39/Data!B39-1)</f>
        <v/>
      </c>
      <c r="C274" s="126" t="str">
        <f>IF(ISERROR(Data!D39/Data!C39-1),"",Data!D39/Data!C39-1)</f>
        <v/>
      </c>
      <c r="D274" s="126" t="str">
        <f>IF(ISERROR(Data!E39/Data!D39-1),"",Data!E39/Data!D39-1)</f>
        <v/>
      </c>
      <c r="E274" s="126" t="str">
        <f>IF(ISERROR(Data!F39/Data!E39-1),"",Data!F39/Data!E39-1)</f>
        <v/>
      </c>
      <c r="F274" s="126" t="str">
        <f>IF(ISERROR(Data!G39/Data!F39-1),"",Data!G39/Data!F39-1)</f>
        <v/>
      </c>
      <c r="G274" s="126" t="str">
        <f>IF(ISERROR((Data!G39/Data!B39)^(1/5)-1),"",(Data!G39/Data!B39)^(1/5)-1)</f>
        <v/>
      </c>
      <c r="H274" s="48"/>
      <c r="I274" s="48"/>
      <c r="J274" s="48"/>
      <c r="K274" s="48"/>
      <c r="L274" s="48"/>
      <c r="M274" s="48"/>
      <c r="N274" s="48"/>
      <c r="O274" s="48"/>
      <c r="P274" s="48"/>
      <c r="Q274" s="48"/>
      <c r="R274" s="48"/>
      <c r="S274" s="48"/>
    </row>
    <row r="275" spans="1:19" ht="12.75" customHeight="1">
      <c r="A275" s="525" t="str">
        <f>Data!A40</f>
        <v>Deferred tax liabilities - current</v>
      </c>
      <c r="B275" s="126" t="str">
        <f>IF(ISERROR(Data!C40/Data!B40-1),"",Data!C40/Data!B40-1)</f>
        <v/>
      </c>
      <c r="C275" s="126" t="str">
        <f>IF(ISERROR(Data!D40/Data!C40-1),"",Data!D40/Data!C40-1)</f>
        <v/>
      </c>
      <c r="D275" s="126" t="str">
        <f>IF(ISERROR(Data!E40/Data!D40-1),"",Data!E40/Data!D40-1)</f>
        <v/>
      </c>
      <c r="E275" s="126" t="str">
        <f>IF(ISERROR(Data!F40/Data!E40-1),"",Data!F40/Data!E40-1)</f>
        <v/>
      </c>
      <c r="F275" s="126" t="str">
        <f>IF(ISERROR(Data!G40/Data!F40-1),"",Data!G40/Data!F40-1)</f>
        <v/>
      </c>
      <c r="G275" s="126" t="str">
        <f>IF(ISERROR((Data!G40/Data!B40)^(1/5)-1),"",(Data!G40/Data!B40)^(1/5)-1)</f>
        <v/>
      </c>
      <c r="H275" s="48"/>
      <c r="I275" s="48"/>
      <c r="J275" s="48"/>
      <c r="K275" s="48"/>
      <c r="L275" s="48"/>
      <c r="M275" s="48"/>
      <c r="N275" s="48"/>
      <c r="O275" s="48"/>
      <c r="P275" s="48"/>
      <c r="Q275" s="48"/>
      <c r="R275" s="48"/>
      <c r="S275" s="48"/>
    </row>
    <row r="276" spans="1:19" ht="12.75" customHeight="1">
      <c r="A276" s="525" t="str">
        <f>Data!A41</f>
        <v>Insurance Reserves</v>
      </c>
      <c r="B276" s="126">
        <f>IF(ISERROR(Data!C41/Data!B41-1),"",Data!C41/Data!B41-1)</f>
        <v>-4.1039671682626677E-3</v>
      </c>
      <c r="C276" s="126">
        <f>IF(ISERROR(Data!D41/Data!C41-1),"",Data!D41/Data!C41-1)</f>
        <v>0.15178571428571419</v>
      </c>
      <c r="D276" s="126">
        <f>IF(ISERROR(Data!E41/Data!D41-1),"",Data!E41/Data!D41-1)</f>
        <v>6.4400715563506239E-2</v>
      </c>
      <c r="E276" s="126">
        <f>IF(ISERROR(Data!F41/Data!E41-1),"",Data!F41/Data!E41-1)</f>
        <v>9.8599439775910236E-2</v>
      </c>
      <c r="F276" s="126">
        <f>IF(ISERROR(Data!G41/Data!F41-1),"",Data!G41/Data!F41-1)</f>
        <v>0.14635390107088231</v>
      </c>
      <c r="G276" s="126">
        <f>IF(ISERROR((Data!G41/Data!B41)^(1/5)-1),"",(Data!G41/Data!B41)^(1/5)-1)</f>
        <v>8.9857674803457854E-2</v>
      </c>
      <c r="H276" s="48"/>
      <c r="I276" s="48"/>
      <c r="J276" s="48"/>
      <c r="K276" s="48"/>
      <c r="L276" s="48"/>
      <c r="M276" s="48"/>
      <c r="N276" s="48"/>
      <c r="O276" s="48"/>
      <c r="P276" s="48"/>
      <c r="Q276" s="48"/>
      <c r="R276" s="48"/>
      <c r="S276" s="48"/>
    </row>
    <row r="277" spans="1:19" ht="12.75" customHeight="1">
      <c r="A277" s="525" t="str">
        <f>Data!A42</f>
        <v>Stored value card liability</v>
      </c>
      <c r="B277" s="126">
        <f>IF(ISERROR(Data!C42/Data!B42-1),"",Data!C42/Data!B42-1)</f>
        <v>8.5003622313450933E-2</v>
      </c>
      <c r="C277" s="126">
        <f>IF(ISERROR(Data!D42/Data!C42-1),"",Data!D42/Data!C42-1)</f>
        <v>0.13554417983529921</v>
      </c>
      <c r="D277" s="126">
        <f>IF(ISERROR(Data!E42/Data!D42-1),"",Data!E42/Data!D42-1)</f>
        <v>0.28126225009800088</v>
      </c>
      <c r="E277" s="126">
        <f>IF(ISERROR(Data!F42/Data!E42-1),"",Data!F42/Data!E42-1)</f>
        <v>0.21538932231910657</v>
      </c>
      <c r="F277" s="126">
        <f>IF(ISERROR(Data!G42/Data!F42-1),"",Data!G42/Data!F42-1)</f>
        <v>0.23826305852737573</v>
      </c>
      <c r="G277" s="126">
        <f>IF(ISERROR((Data!G42/Data!B42)^(1/5)-1),"",(Data!G42/Data!B42)^(1/5)-1)</f>
        <v>0.18894103782637939</v>
      </c>
      <c r="H277" s="48"/>
      <c r="I277" s="48"/>
      <c r="J277" s="48"/>
      <c r="K277" s="48"/>
      <c r="L277" s="48"/>
      <c r="M277" s="48"/>
      <c r="N277" s="48"/>
      <c r="O277" s="48"/>
      <c r="P277" s="48"/>
      <c r="Q277" s="48"/>
      <c r="R277" s="48"/>
      <c r="S277" s="48"/>
    </row>
    <row r="278" spans="1:19" ht="12.75" customHeight="1">
      <c r="A278" s="525" t="str">
        <f>Data!A43</f>
        <v>Accrued litigation charge</v>
      </c>
      <c r="B278" s="126" t="str">
        <f>IF(ISERROR(Data!C43/Data!B43-1),"",Data!C43/Data!B43-1)</f>
        <v/>
      </c>
      <c r="C278" s="126" t="str">
        <f>IF(ISERROR(Data!D43/Data!C43-1),"",Data!D43/Data!C43-1)</f>
        <v/>
      </c>
      <c r="D278" s="126" t="str">
        <f>IF(ISERROR(Data!E43/Data!D43-1),"",Data!E43/Data!D43-1)</f>
        <v/>
      </c>
      <c r="E278" s="126">
        <f>IF(ISERROR(Data!F43/Data!E43-1),"",Data!F43/Data!E43-1)</f>
        <v>-1</v>
      </c>
      <c r="F278" s="126" t="str">
        <f>IF(ISERROR(Data!G43/Data!F43-1),"",Data!G43/Data!F43-1)</f>
        <v/>
      </c>
      <c r="G278" s="126" t="str">
        <f>IF(ISERROR((Data!G43/Data!B43)^(1/5)-1),"",(Data!G43/Data!B43)^(1/5)-1)</f>
        <v/>
      </c>
      <c r="H278" s="48"/>
      <c r="I278" s="48"/>
      <c r="J278" s="48"/>
      <c r="K278" s="48"/>
      <c r="L278" s="48"/>
      <c r="M278" s="48"/>
      <c r="N278" s="48"/>
      <c r="O278" s="48"/>
      <c r="P278" s="48"/>
      <c r="Q278" s="48"/>
      <c r="R278" s="48"/>
      <c r="S278" s="48"/>
    </row>
    <row r="279" spans="1:19" ht="12.75" customHeight="1">
      <c r="A279" s="517" t="str">
        <f>Data!A44</f>
        <v xml:space="preserve">  Current Liabilities</v>
      </c>
      <c r="B279" s="521">
        <f>IF(ISERROR(Data!C44/Data!B44-1),"",Data!C44/Data!B44-1)</f>
        <v>0.16676971502445048</v>
      </c>
      <c r="C279" s="521">
        <f>IF(ISERROR(Data!D44/Data!C44-1),"",Data!D44/Data!C44-1)</f>
        <v>6.4553425185470692E-2</v>
      </c>
      <c r="D279" s="521">
        <f>IF(ISERROR(Data!E44/Data!D44-1),"",Data!E44/Data!D44-1)</f>
        <v>1.4333876368902159</v>
      </c>
      <c r="E279" s="521">
        <f>IF(ISERROR(Data!F44/Data!E44-1),"",Data!F44/Data!E44-1)</f>
        <v>-0.4349022743756159</v>
      </c>
      <c r="F279" s="521">
        <f>IF(ISERROR(Data!G44/Data!F44-1),"",Data!G44/Data!F44-1)</f>
        <v>0.20232336196399769</v>
      </c>
      <c r="G279" s="521">
        <f>IF(ISERROR((Data!G44/Data!B44)^(1/5)-1),"",(Data!G44/Data!B44)^(1/5)-1)</f>
        <v>0.15478663898524636</v>
      </c>
    </row>
    <row r="280" spans="1:19" ht="12.75" customHeight="1">
      <c r="A280" s="498" t="str">
        <f>Data!A45</f>
        <v xml:space="preserve">Long-term debt </v>
      </c>
      <c r="B280" s="522">
        <f>IF(ISERROR(Data!C45/Data!B45-1),"",Data!C45/Data!B45-1)</f>
        <v>1.8201674554063629E-4</v>
      </c>
      <c r="C280" s="522">
        <f>IF(ISERROR(Data!D45/Data!C45-1),"",Data!D45/Data!C45-1)</f>
        <v>1.8198362147403557E-4</v>
      </c>
      <c r="D280" s="522">
        <f>IF(ISERROR(Data!E45/Data!D45-1),"",Data!E45/Data!D45-1)</f>
        <v>1.364264919941776</v>
      </c>
      <c r="E280" s="522">
        <f>IF(ISERROR(Data!F45/Data!E45-1),"",Data!F45/Data!E45-1)</f>
        <v>0.57634292750500227</v>
      </c>
      <c r="F280" s="522">
        <f>IF(ISERROR(Data!G45/Data!F45-1),"",Data!G45/Data!F45-1)</f>
        <v>0.14607235268271235</v>
      </c>
      <c r="G280" s="522">
        <f>IF(ISERROR((Data!G45/Data!B45)^(1/5)-1),"",(Data!G45/Data!B45)^(1/5)-1)</f>
        <v>0.33703688748910898</v>
      </c>
      <c r="H280" s="48"/>
      <c r="I280" s="48"/>
      <c r="J280" s="48"/>
      <c r="K280" s="48"/>
      <c r="L280" s="48"/>
      <c r="M280" s="48"/>
      <c r="N280" s="48"/>
      <c r="O280" s="48"/>
      <c r="P280" s="48"/>
      <c r="Q280" s="48"/>
      <c r="R280" s="48"/>
      <c r="S280" s="48"/>
    </row>
    <row r="281" spans="1:19" ht="12.75" customHeight="1">
      <c r="A281" s="81" t="str">
        <f>Data!A46</f>
        <v>Long-term accrued liabilities</v>
      </c>
      <c r="B281" s="126">
        <f>IF(ISERROR(Data!C46/Data!B46-1),"",Data!C46/Data!B46-1)</f>
        <v>-7.2780591842175446E-2</v>
      </c>
      <c r="C281" s="126">
        <f>IF(ISERROR(Data!D46/Data!C46-1),"",Data!D46/Data!C46-1)</f>
        <v>-7.1880391029327528E-3</v>
      </c>
      <c r="D281" s="126">
        <f>IF(ISERROR(Data!E46/Data!D46-1),"",Data!E46/Data!D46-1)</f>
        <v>3.5910802200984637E-2</v>
      </c>
      <c r="E281" s="126">
        <f>IF(ISERROR(Data!F46/Data!E46-1),"",Data!F46/Data!E46-1)</f>
        <v>9.6449538719597383E-2</v>
      </c>
      <c r="F281" s="126">
        <f>IF(ISERROR(Data!G46/Data!F46-1),"",Data!G46/Data!F46-1)</f>
        <v>0.59433962264150941</v>
      </c>
      <c r="G281" s="126">
        <f>IF(ISERROR((Data!G46/Data!B46)^(1/5)-1),"",(Data!G46/Data!B46)^(1/5)-1)</f>
        <v>0.10761358278412381</v>
      </c>
      <c r="H281" s="48"/>
      <c r="I281" s="48"/>
      <c r="J281" s="48"/>
      <c r="K281" s="48"/>
      <c r="L281" s="48"/>
      <c r="M281" s="48"/>
      <c r="N281" s="48"/>
      <c r="O281" s="48"/>
      <c r="P281" s="48"/>
      <c r="Q281" s="48"/>
      <c r="R281" s="48"/>
      <c r="S281" s="48"/>
    </row>
    <row r="282" spans="1:19" ht="12.75" customHeight="1">
      <c r="A282" s="81" t="str">
        <f>Data!A47</f>
        <v>Deferred tax liabilities- noncurrent</v>
      </c>
      <c r="B282" s="126" t="str">
        <f>IF(ISERROR(Data!C47/Data!B47-1),"",Data!C47/Data!B47-1)</f>
        <v/>
      </c>
      <c r="C282" s="126" t="str">
        <f>IF(ISERROR(Data!D47/Data!C47-1),"",Data!D47/Data!C47-1)</f>
        <v/>
      </c>
      <c r="D282" s="126" t="str">
        <f>IF(ISERROR(Data!E47/Data!D47-1),"",Data!E47/Data!D47-1)</f>
        <v/>
      </c>
      <c r="E282" s="126" t="str">
        <f>IF(ISERROR(Data!F47/Data!E47-1),"",Data!F47/Data!E47-1)</f>
        <v/>
      </c>
      <c r="F282" s="126" t="str">
        <f>IF(ISERROR(Data!G47/Data!F47-1),"",Data!G47/Data!F47-1)</f>
        <v/>
      </c>
      <c r="G282" s="126" t="str">
        <f>IF(ISERROR((Data!G47/Data!B47)^(1/5)-1),"",(Data!G47/Data!B47)^(1/5)-1)</f>
        <v/>
      </c>
      <c r="H282" s="48"/>
      <c r="I282" s="48"/>
      <c r="J282" s="48"/>
      <c r="K282" s="48"/>
      <c r="L282" s="48"/>
      <c r="M282" s="48"/>
      <c r="N282" s="48"/>
      <c r="O282" s="48"/>
      <c r="P282" s="48"/>
      <c r="Q282" s="48"/>
      <c r="R282" s="48"/>
      <c r="S282" s="48"/>
    </row>
    <row r="283" spans="1:19" ht="12.75" customHeight="1">
      <c r="A283" s="81" t="str">
        <f>Data!A48</f>
        <v>Other noncurrent liabilities (1)</v>
      </c>
      <c r="B283" s="126" t="str">
        <f>IF(ISERROR(Data!C48/Data!B48-1),"",Data!C48/Data!B48-1)</f>
        <v/>
      </c>
      <c r="C283" s="126" t="str">
        <f>IF(ISERROR(Data!D48/Data!C48-1),"",Data!D48/Data!C48-1)</f>
        <v/>
      </c>
      <c r="D283" s="126" t="str">
        <f>IF(ISERROR(Data!E48/Data!D48-1),"",Data!E48/Data!D48-1)</f>
        <v/>
      </c>
      <c r="E283" s="126" t="str">
        <f>IF(ISERROR(Data!F48/Data!E48-1),"",Data!F48/Data!E48-1)</f>
        <v/>
      </c>
      <c r="F283" s="126" t="str">
        <f>IF(ISERROR(Data!G48/Data!F48-1),"",Data!G48/Data!F48-1)</f>
        <v/>
      </c>
      <c r="G283" s="126" t="str">
        <f>IF(ISERROR((Data!G48/Data!B48)^(1/5)-1),"",(Data!G48/Data!B48)^(1/5)-1)</f>
        <v/>
      </c>
    </row>
    <row r="284" spans="1:19" ht="12.75" customHeight="1">
      <c r="A284" s="81" t="str">
        <f>Data!A49</f>
        <v>Other noncurrent liabilities (2)</v>
      </c>
      <c r="B284" s="126" t="str">
        <f>IF(ISERROR(Data!C49/Data!B49-1),"",Data!C49/Data!B49-1)</f>
        <v/>
      </c>
      <c r="C284" s="126" t="str">
        <f>IF(ISERROR(Data!D49/Data!C49-1),"",Data!D49/Data!C49-1)</f>
        <v/>
      </c>
      <c r="D284" s="126" t="str">
        <f>IF(ISERROR(Data!E49/Data!D49-1),"",Data!E49/Data!D49-1)</f>
        <v/>
      </c>
      <c r="E284" s="126" t="str">
        <f>IF(ISERROR(Data!F49/Data!E49-1),"",Data!F49/Data!E49-1)</f>
        <v/>
      </c>
      <c r="F284" s="126" t="str">
        <f>IF(ISERROR(Data!G49/Data!F49-1),"",Data!G49/Data!F49-1)</f>
        <v/>
      </c>
      <c r="G284" s="126" t="str">
        <f>IF(ISERROR((Data!G49/Data!B49)^(1/5)-1),"",(Data!G49/Data!B49)^(1/5)-1)</f>
        <v/>
      </c>
      <c r="H284" s="48"/>
      <c r="I284" s="48"/>
      <c r="J284" s="48"/>
      <c r="K284" s="48"/>
      <c r="L284" s="48"/>
      <c r="M284" s="48"/>
      <c r="N284" s="48"/>
      <c r="O284" s="48"/>
      <c r="P284" s="48"/>
      <c r="Q284" s="48"/>
      <c r="R284" s="48"/>
      <c r="S284" s="48"/>
    </row>
    <row r="285" spans="1:19" ht="12.75" customHeight="1">
      <c r="A285" s="517" t="str">
        <f>Data!A50</f>
        <v xml:space="preserve">  Total Liabilities</v>
      </c>
      <c r="B285" s="521">
        <f>IF(ISERROR(Data!C50/Data!B50-1),"",Data!C50/Data!B50-1)</f>
        <v>9.9681905607338361E-2</v>
      </c>
      <c r="C285" s="521">
        <f>IF(ISERROR(Data!D50/Data!C50-1),"",Data!D50/Data!C50-1)</f>
        <v>4.4263563284114182E-2</v>
      </c>
      <c r="D285" s="521">
        <f>IF(ISERROR(Data!E50/Data!D50-1),"",Data!E50/Data!D50-1)</f>
        <v>1.2657261571166289</v>
      </c>
      <c r="E285" s="521">
        <f>IF(ISERROR(Data!F50/Data!E50-1),"",Data!F50/Data!E50-1)</f>
        <v>-0.22108495394063443</v>
      </c>
      <c r="F285" s="521">
        <f>IF(ISERROR(Data!G50/Data!F50-1),"",Data!G50/Data!F50-1)</f>
        <v>0.20935538034749612</v>
      </c>
      <c r="G285" s="521">
        <f>IF(ISERROR((Data!G50/Data!B50)^(1/5)-1),"",(Data!G50/Data!B50)^(1/5)-1)</f>
        <v>0.19637059809553725</v>
      </c>
      <c r="H285" s="48"/>
      <c r="I285" s="48"/>
      <c r="J285" s="48"/>
      <c r="K285" s="48"/>
      <c r="L285" s="48"/>
      <c r="M285" s="48"/>
      <c r="N285" s="48"/>
      <c r="O285" s="48"/>
      <c r="P285" s="48"/>
      <c r="Q285" s="48"/>
      <c r="R285" s="48"/>
      <c r="S285" s="48"/>
    </row>
    <row r="286" spans="1:19" ht="12.75" customHeight="1">
      <c r="A286" s="102"/>
      <c r="B286" s="130"/>
      <c r="C286" s="130"/>
      <c r="D286" s="130"/>
      <c r="E286" s="130"/>
      <c r="F286" s="130"/>
      <c r="G286" s="130"/>
      <c r="H286" s="48"/>
      <c r="I286" s="48"/>
      <c r="J286" s="48"/>
      <c r="K286" s="48"/>
      <c r="L286" s="48"/>
      <c r="M286" s="48"/>
      <c r="N286" s="48"/>
      <c r="O286" s="48"/>
      <c r="P286" s="48"/>
      <c r="Q286" s="48"/>
      <c r="R286" s="48"/>
      <c r="S286" s="48"/>
    </row>
    <row r="287" spans="1:19" ht="12.75" customHeight="1">
      <c r="A287" s="81" t="str">
        <f>Data!A52</f>
        <v>Preferred stock</v>
      </c>
      <c r="B287" s="126" t="str">
        <f>IF(ISERROR(Data!C52/Data!B52-1),"",Data!C52/Data!B52-1)</f>
        <v/>
      </c>
      <c r="C287" s="126" t="str">
        <f>IF(ISERROR(Data!D52/Data!C52-1),"",Data!D52/Data!C52-1)</f>
        <v/>
      </c>
      <c r="D287" s="126" t="str">
        <f>IF(ISERROR(Data!E52/Data!D52-1),"",Data!E52/Data!D52-1)</f>
        <v/>
      </c>
      <c r="E287" s="126" t="str">
        <f>IF(ISERROR(Data!F52/Data!E52-1),"",Data!F52/Data!E52-1)</f>
        <v/>
      </c>
      <c r="F287" s="126" t="str">
        <f>IF(ISERROR(Data!G52/Data!F52-1),"",Data!G52/Data!F52-1)</f>
        <v/>
      </c>
      <c r="G287" s="126" t="str">
        <f>IF(ISERROR((Data!G52/Data!B52)^(1/5)-1),"",(Data!G52/Data!B52)^(1/5)-1)</f>
        <v/>
      </c>
    </row>
    <row r="288" spans="1:19" ht="12.75" customHeight="1">
      <c r="A288" s="81" t="str">
        <f>Data!A53</f>
        <v>Common stock + Additional paid in capital</v>
      </c>
      <c r="B288" s="126">
        <f>IF(ISERROR(Data!C53/Data!B53-1),"",Data!C53/Data!B53-1)</f>
        <v>-0.71838687628161313</v>
      </c>
      <c r="C288" s="126">
        <f>IF(ISERROR(Data!D53/Data!C53-1),"",Data!D53/Data!C53-1)</f>
        <v>-2.669902912621358E-2</v>
      </c>
      <c r="D288" s="126">
        <f>IF(ISERROR(Data!E53/Data!D53-1),"",Data!E53/Data!D53-1)</f>
        <v>6.0548628428927671</v>
      </c>
      <c r="E288" s="126">
        <f>IF(ISERROR(Data!F53/Data!E53-1),"",Data!F53/Data!E53-1)</f>
        <v>-0.85825379992930362</v>
      </c>
      <c r="F288" s="126">
        <f>IF(ISERROR(Data!G53/Data!F53-1),"",Data!G53/Data!F53-1)</f>
        <v>6.2344139650872821E-2</v>
      </c>
      <c r="G288" s="126">
        <f>IF(ISERROR((Data!G53/Data!B53)^(1/5)-1),"",(Data!G53/Data!B53)^(1/5)-1)</f>
        <v>-0.2186726000869762</v>
      </c>
      <c r="H288" s="48"/>
      <c r="I288" s="48"/>
      <c r="J288" s="48"/>
      <c r="K288" s="48"/>
      <c r="L288" s="48"/>
      <c r="M288" s="48"/>
      <c r="N288" s="48"/>
      <c r="O288" s="48"/>
      <c r="P288" s="48"/>
      <c r="Q288" s="48"/>
      <c r="R288" s="48"/>
      <c r="S288" s="48"/>
    </row>
    <row r="289" spans="1:19" ht="12.75" customHeight="1">
      <c r="A289" s="139" t="str">
        <f>Data!A54</f>
        <v>Retained earnings &lt;deficit&gt;</v>
      </c>
      <c r="B289" s="126">
        <f>IF(ISERROR(Data!C54/Data!B54-1),"",Data!C54/Data!B54-1)</f>
        <v>0.23801567181378203</v>
      </c>
      <c r="C289" s="126">
        <f>IF(ISERROR(Data!D54/Data!C54-1),"",Data!D54/Data!C54-1)</f>
        <v>0.17424489226043649</v>
      </c>
      <c r="D289" s="126">
        <f>IF(ISERROR(Data!E54/Data!D54-1),"",Data!E54/Data!D54-1)</f>
        <v>-0.18150291308311195</v>
      </c>
      <c r="E289" s="126">
        <f>IF(ISERROR(Data!F54/Data!E54-1),"",Data!F54/Data!E54-1)</f>
        <v>0.26058639808246387</v>
      </c>
      <c r="F289" s="126">
        <f>IF(ISERROR(Data!G54/Data!F54-1),"",Data!G54/Data!F54-1)</f>
        <v>0.1475435024776246</v>
      </c>
      <c r="G289" s="126">
        <f>IF(ISERROR((Data!G54/Data!B54)^(1/5)-1),"",(Data!G54/Data!B54)^(1/5)-1)</f>
        <v>0.1147275817835276</v>
      </c>
      <c r="H289" s="48"/>
      <c r="I289" s="48"/>
      <c r="J289" s="48"/>
      <c r="K289" s="48"/>
      <c r="L289" s="48"/>
      <c r="M289" s="48"/>
      <c r="N289" s="48"/>
      <c r="O289" s="48"/>
      <c r="P289" s="48"/>
      <c r="Q289" s="48"/>
      <c r="R289" s="48"/>
      <c r="S289" s="48"/>
    </row>
    <row r="290" spans="1:19" ht="12.75" customHeight="1">
      <c r="A290" s="81" t="str">
        <f>Data!A55</f>
        <v>Accum. other comprehensive income &lt;loss&gt;</v>
      </c>
      <c r="B290" s="126">
        <f>IF(ISERROR(Data!C55/Data!B55-1),"",Data!C55/Data!B55-1)</f>
        <v>-0.19055944055944063</v>
      </c>
      <c r="C290" s="126">
        <f>IF(ISERROR(Data!D55/Data!C55-1),"",Data!D55/Data!C55-1)</f>
        <v>-0.50971922246220303</v>
      </c>
      <c r="D290" s="126">
        <f>IF(ISERROR(Data!E55/Data!D55-1),"",Data!E55/Data!D55-1)</f>
        <v>1.9515418502202646</v>
      </c>
      <c r="E290" s="126">
        <f>IF(ISERROR(Data!F55/Data!E55-1),"",Data!F55/Data!E55-1)</f>
        <v>-0.62238805970149258</v>
      </c>
      <c r="F290" s="126">
        <f>IF(ISERROR(Data!G55/Data!F55-1),"",Data!G55/Data!F55-1)</f>
        <v>-8.8814229249011856</v>
      </c>
      <c r="G290" s="126">
        <f>IF(ISERROR((Data!G55/Data!B55)^(1/5)-1),"",(Data!G55/Data!B55)^(1/5)-1)</f>
        <v>-2.2837067506361688</v>
      </c>
    </row>
    <row r="291" spans="1:19" ht="12.75" customHeight="1">
      <c r="A291" s="81" t="str">
        <f>Data!A56</f>
        <v>&lt;Treasury stock&gt; and other equity adjustments</v>
      </c>
      <c r="B291" s="126" t="str">
        <f>IF(ISERROR(Data!C56/Data!B56-1),"",Data!C56/Data!B56-1)</f>
        <v/>
      </c>
      <c r="C291" s="126" t="str">
        <f>IF(ISERROR(Data!D56/Data!C56-1),"",Data!D56/Data!C56-1)</f>
        <v/>
      </c>
      <c r="D291" s="126" t="str">
        <f>IF(ISERROR(Data!E56/Data!D56-1),"",Data!E56/Data!D56-1)</f>
        <v/>
      </c>
      <c r="E291" s="126" t="str">
        <f>IF(ISERROR(Data!F56/Data!E56-1),"",Data!F56/Data!E56-1)</f>
        <v/>
      </c>
      <c r="F291" s="126" t="str">
        <f>IF(ISERROR(Data!G56/Data!F56-1),"",Data!G56/Data!F56-1)</f>
        <v/>
      </c>
      <c r="G291" s="126" t="str">
        <f>IF(ISERROR((Data!G56/Data!B56)^(1/5)-1),"",(Data!G56/Data!B56)^(1/5)-1)</f>
        <v/>
      </c>
      <c r="H291" s="48"/>
      <c r="I291" s="48"/>
      <c r="J291" s="48"/>
      <c r="K291" s="48"/>
      <c r="L291" s="48"/>
      <c r="M291" s="48"/>
      <c r="N291" s="48"/>
      <c r="O291" s="48"/>
      <c r="P291" s="48"/>
      <c r="Q291" s="48"/>
      <c r="R291" s="48"/>
      <c r="S291" s="48"/>
    </row>
    <row r="292" spans="1:19" ht="12.75" customHeight="1">
      <c r="A292" s="517" t="str">
        <f>Data!A57</f>
        <v xml:space="preserve"> Total Common Shareholders' Equity</v>
      </c>
      <c r="B292" s="521">
        <f>IF(ISERROR(Data!C57/Data!B57-1),"",Data!C57/Data!B57-1)</f>
        <v>0.19326747761722052</v>
      </c>
      <c r="C292" s="521">
        <f>IF(ISERROR(Data!D57/Data!C57-1),"",Data!D57/Data!C57-1)</f>
        <v>0.16513489475244603</v>
      </c>
      <c r="D292" s="521">
        <f>IF(ISERROR(Data!E57/Data!D57-1),"",Data!E57/Data!D57-1)</f>
        <v>-0.12307692307692308</v>
      </c>
      <c r="E292" s="521">
        <f>IF(ISERROR(Data!F57/Data!E57-1),"",Data!F57/Data!E57-1)</f>
        <v>0.1767331815543951</v>
      </c>
      <c r="F292" s="521">
        <f>IF(ISERROR(Data!G57/Data!F57-1),"",Data!G57/Data!F57-1)</f>
        <v>0.10356600910470415</v>
      </c>
      <c r="G292" s="521">
        <f>IF(ISERROR((Data!G57/Data!B57)^(1/5)-1),"",(Data!G57/Data!B57)^(1/5)-1)</f>
        <v>9.6251916218636824E-2</v>
      </c>
      <c r="H292" s="48"/>
      <c r="I292" s="48"/>
      <c r="J292" s="48"/>
      <c r="K292" s="48"/>
      <c r="L292" s="48"/>
      <c r="M292" s="48"/>
      <c r="N292" s="48"/>
      <c r="O292" s="48"/>
      <c r="P292" s="48"/>
      <c r="Q292" s="48"/>
      <c r="R292" s="48"/>
      <c r="S292" s="48"/>
    </row>
    <row r="293" spans="1:19" ht="12.75" customHeight="1">
      <c r="A293" s="526" t="str">
        <f>Data!A58</f>
        <v>Noncontrolling interests</v>
      </c>
      <c r="B293" s="527">
        <f>IF(ISERROR(Data!C58/Data!B58-1),"",Data!C58/Data!B58-1)</f>
        <v>-0.68421052631578949</v>
      </c>
      <c r="C293" s="527">
        <f>IF(ISERROR(Data!D58/Data!C58-1),"",Data!D58/Data!C58-1)</f>
        <v>1.291666666666667</v>
      </c>
      <c r="D293" s="527">
        <f>IF(ISERROR(Data!E58/Data!D58-1),"",Data!E58/Data!D58-1)</f>
        <v>-0.61818181818181817</v>
      </c>
      <c r="E293" s="527">
        <f>IF(ISERROR(Data!F58/Data!E58-1),"",Data!F58/Data!E58-1)</f>
        <v>-0.19047619047619058</v>
      </c>
      <c r="F293" s="527">
        <f>IF(ISERROR(Data!G58/Data!F58-1),"",Data!G58/Data!F58-1)</f>
        <v>5.8823529411764719E-2</v>
      </c>
      <c r="G293" s="527">
        <f>IF(ISERROR((Data!G58/Data!B58)^(1/5)-1),"",(Data!G58/Data!B58)^(1/5)-1)</f>
        <v>-0.25029262591821733</v>
      </c>
    </row>
    <row r="294" spans="1:19" ht="12.75" customHeight="1">
      <c r="A294" s="517" t="str">
        <f>Data!A59</f>
        <v xml:space="preserve">  Total Equity</v>
      </c>
      <c r="B294" s="521">
        <f>IF(ISERROR(Data!C59/Data!B59-1),"",Data!C59/Data!B59-1)</f>
        <v>0.19145642668984042</v>
      </c>
      <c r="C294" s="521">
        <f>IF(ISERROR(Data!D59/Data!C59-1),"",Data!D59/Data!C59-1)</f>
        <v>0.16575114535135516</v>
      </c>
      <c r="D294" s="521">
        <f>IF(ISERROR(Data!E59/Data!D59-1),"",Data!E59/Data!D59-1)</f>
        <v>-0.12360934597712381</v>
      </c>
      <c r="E294" s="521">
        <f>IF(ISERROR(Data!F59/Data!E59-1),"",Data!F59/Data!E59-1)</f>
        <v>0.17656114048591132</v>
      </c>
      <c r="F294" s="521">
        <f>IF(ISERROR(Data!G59/Data!F59-1),"",Data!G59/Data!F59-1)</f>
        <v>0.10355158617289573</v>
      </c>
      <c r="G294" s="521">
        <f>IF(ISERROR((Data!G59/Data!B59)^(1/5)-1),"",(Data!G59/Data!B59)^(1/5)-1)</f>
        <v>9.5866821583110884E-2</v>
      </c>
      <c r="H294" s="48"/>
      <c r="I294" s="48"/>
      <c r="J294" s="48"/>
      <c r="K294" s="48"/>
      <c r="L294" s="48"/>
      <c r="M294" s="48"/>
      <c r="N294" s="48"/>
      <c r="O294" s="48"/>
      <c r="P294" s="48"/>
      <c r="Q294" s="48"/>
      <c r="R294" s="48"/>
      <c r="S294" s="48"/>
    </row>
    <row r="295" spans="1:19" ht="12.75" customHeight="1">
      <c r="A295" s="517" t="str">
        <f>Data!A60</f>
        <v xml:space="preserve">  Total Liabilities and Equities</v>
      </c>
      <c r="B295" s="520">
        <f>IF(ISERROR(Data!C60/Data!B60-1),"",Data!C60/Data!B60-1)</f>
        <v>0.1526018258976809</v>
      </c>
      <c r="C295" s="520">
        <f>IF(ISERROR(Data!D60/Data!C60-1),"",Data!D60/Data!C60-1)</f>
        <v>0.11667844138905514</v>
      </c>
      <c r="D295" s="520">
        <f>IF(ISERROR(Data!E60/Data!D60-1),"",Data!E60/Data!D60-1)</f>
        <v>0.40119476348063055</v>
      </c>
      <c r="E295" s="520">
        <f>IF(ISERROR(Data!F60/Data!E60-1),"",Data!F60/Data!E60-1)</f>
        <v>-6.6321081559821637E-2</v>
      </c>
      <c r="F295" s="520">
        <f>IF(ISERROR(Data!G60/Data!F60-1),"",Data!G60/Data!F60-1)</f>
        <v>0.15746449794939044</v>
      </c>
      <c r="G295" s="520">
        <f>IF(ISERROR((Data!G60/Data!B60)^(1/5)-1),"",(Data!G60/Data!B60)^(1/5)-1)</f>
        <v>0.14277895645443062</v>
      </c>
      <c r="H295" s="48"/>
      <c r="I295" s="48"/>
      <c r="J295" s="48"/>
      <c r="K295" s="48"/>
      <c r="L295" s="48"/>
      <c r="M295" s="48"/>
      <c r="N295" s="48"/>
      <c r="O295" s="48"/>
      <c r="P295" s="48"/>
      <c r="Q295" s="48"/>
      <c r="R295" s="48"/>
      <c r="S295" s="48"/>
    </row>
    <row r="296" spans="1:19" ht="12.75" customHeight="1">
      <c r="A296" s="97"/>
      <c r="B296" s="80"/>
      <c r="C296" s="80"/>
      <c r="D296" s="80"/>
      <c r="E296" s="80"/>
      <c r="F296" s="80"/>
      <c r="G296" s="140"/>
      <c r="H296" s="48"/>
      <c r="I296" s="48"/>
      <c r="J296" s="48"/>
      <c r="K296" s="48"/>
      <c r="L296" s="48"/>
      <c r="M296" s="48"/>
      <c r="N296" s="48"/>
      <c r="O296" s="48"/>
      <c r="P296" s="48"/>
      <c r="Q296" s="48"/>
      <c r="R296" s="48"/>
      <c r="S296" s="48"/>
    </row>
    <row r="297" spans="1:19" ht="12.75" customHeight="1" thickBot="1">
      <c r="A297" s="80"/>
      <c r="B297" s="80"/>
      <c r="C297" s="80"/>
      <c r="D297" s="80"/>
      <c r="E297" s="80"/>
      <c r="F297" s="62"/>
      <c r="G297" s="80"/>
      <c r="H297" s="48"/>
      <c r="I297" s="48"/>
      <c r="J297" s="48"/>
      <c r="K297" s="48"/>
      <c r="L297" s="48"/>
      <c r="M297" s="48"/>
      <c r="N297" s="48"/>
      <c r="O297" s="48"/>
      <c r="P297" s="48"/>
      <c r="Q297" s="48"/>
      <c r="R297" s="48"/>
      <c r="S297" s="48"/>
    </row>
    <row r="298" spans="1:19" ht="12.75" customHeight="1" thickBot="1">
      <c r="A298" s="103" t="s">
        <v>236</v>
      </c>
      <c r="B298" s="104"/>
      <c r="C298" s="104"/>
      <c r="D298" s="104"/>
      <c r="E298" s="104"/>
      <c r="F298" s="104"/>
      <c r="G298" s="104"/>
      <c r="H298" s="105"/>
      <c r="I298" s="48"/>
      <c r="J298" s="109" t="s">
        <v>502</v>
      </c>
      <c r="K298" s="48"/>
      <c r="L298" s="48"/>
      <c r="M298" s="48"/>
      <c r="N298" s="48"/>
      <c r="O298" s="48"/>
      <c r="P298" s="48"/>
      <c r="Q298" s="48"/>
      <c r="R298" s="48"/>
      <c r="S298" s="48"/>
    </row>
    <row r="299" spans="1:19" ht="12.75" customHeight="1">
      <c r="A299" s="141"/>
      <c r="B299" s="62"/>
      <c r="C299" s="62"/>
      <c r="D299" s="62"/>
      <c r="E299" s="62"/>
      <c r="F299" s="62"/>
      <c r="G299" s="62"/>
      <c r="H299" s="142"/>
      <c r="I299" s="48"/>
      <c r="J299" s="48" t="s">
        <v>368</v>
      </c>
      <c r="K299" s="48"/>
      <c r="L299" s="48"/>
      <c r="M299" s="48"/>
      <c r="N299" s="48"/>
      <c r="O299" s="48"/>
      <c r="P299" s="48"/>
      <c r="Q299" s="48"/>
      <c r="R299" s="48"/>
      <c r="S299" s="48"/>
    </row>
    <row r="300" spans="1:19" ht="12.75" customHeight="1">
      <c r="A300" s="143"/>
      <c r="B300" s="62"/>
      <c r="C300" s="62"/>
      <c r="D300" s="62"/>
      <c r="E300" s="62"/>
      <c r="F300" s="62"/>
      <c r="G300" s="62"/>
      <c r="H300" s="142"/>
      <c r="I300" s="48"/>
      <c r="J300" s="48"/>
      <c r="K300" s="48"/>
      <c r="L300" s="48"/>
      <c r="M300" s="48"/>
      <c r="N300" s="48"/>
      <c r="O300" s="48"/>
      <c r="P300" s="48"/>
      <c r="Q300" s="48"/>
      <c r="R300" s="48"/>
      <c r="S300" s="48"/>
    </row>
    <row r="301" spans="1:19" ht="12.75" customHeight="1">
      <c r="A301" s="144" t="s">
        <v>460</v>
      </c>
      <c r="C301" s="145"/>
      <c r="D301" s="145" t="s">
        <v>459</v>
      </c>
      <c r="E301" s="146"/>
      <c r="G301" s="62"/>
      <c r="H301" s="142"/>
      <c r="I301" s="48"/>
      <c r="K301" s="48"/>
      <c r="L301" s="48"/>
      <c r="M301" s="48"/>
      <c r="N301" s="48"/>
      <c r="O301" s="48"/>
      <c r="P301" s="48"/>
      <c r="Q301" s="48"/>
      <c r="R301" s="48"/>
      <c r="S301" s="48"/>
    </row>
    <row r="302" spans="1:19" ht="12.75" customHeight="1">
      <c r="A302" s="147"/>
      <c r="B302" s="62"/>
      <c r="C302" s="148">
        <f>Data!$E$11</f>
        <v>2013</v>
      </c>
      <c r="D302" s="148">
        <f>Data!$F$11</f>
        <v>2014</v>
      </c>
      <c r="E302" s="148">
        <f>Data!$G$11</f>
        <v>2015</v>
      </c>
      <c r="F302" s="62"/>
      <c r="G302" s="62"/>
      <c r="H302" s="142"/>
      <c r="I302" s="48"/>
      <c r="J302" s="48"/>
      <c r="K302" s="48"/>
      <c r="L302" s="48"/>
      <c r="M302" s="48"/>
      <c r="N302" s="48"/>
      <c r="O302" s="48"/>
      <c r="P302" s="48"/>
      <c r="Q302" s="48"/>
      <c r="R302" s="48"/>
      <c r="S302" s="48"/>
    </row>
    <row r="303" spans="1:19" ht="12.75" customHeight="1">
      <c r="A303" s="149"/>
      <c r="B303" s="62"/>
      <c r="C303" s="150">
        <f>IF(ISERROR(D31),"",D31)</f>
        <v>0.18613085797962084</v>
      </c>
      <c r="D303" s="150">
        <f>IF(ISERROR(E31),"",E31)</f>
        <v>0.18825978014872297</v>
      </c>
      <c r="E303" s="150">
        <f>IF(ISERROR(F31),"",F31)</f>
        <v>0.22336671254494264</v>
      </c>
      <c r="F303" s="62"/>
      <c r="G303" s="62"/>
      <c r="H303" s="142"/>
      <c r="I303" s="48"/>
      <c r="J303" s="48"/>
      <c r="K303" s="48"/>
      <c r="L303" s="48"/>
      <c r="M303" s="48"/>
      <c r="N303" s="48"/>
      <c r="O303" s="48"/>
      <c r="P303" s="48"/>
      <c r="Q303" s="48"/>
      <c r="R303" s="48"/>
      <c r="S303" s="48"/>
    </row>
    <row r="304" spans="1:19" ht="12.75" customHeight="1">
      <c r="A304" s="147"/>
      <c r="B304" s="62"/>
      <c r="C304" s="62"/>
      <c r="D304" s="62"/>
      <c r="E304" s="62"/>
      <c r="F304" s="62"/>
      <c r="G304" s="62"/>
      <c r="H304" s="142"/>
      <c r="I304" s="48"/>
      <c r="J304" s="48"/>
      <c r="K304" s="48"/>
      <c r="L304" s="48"/>
      <c r="M304" s="48"/>
      <c r="N304" s="48"/>
      <c r="O304" s="48"/>
      <c r="P304" s="48"/>
      <c r="Q304" s="48"/>
      <c r="R304" s="48"/>
      <c r="S304" s="48"/>
    </row>
    <row r="305" spans="1:19" ht="12.75" customHeight="1">
      <c r="A305" s="144" t="s">
        <v>461</v>
      </c>
      <c r="B305" s="145"/>
      <c r="C305" s="145" t="s">
        <v>462</v>
      </c>
      <c r="D305" s="145"/>
      <c r="E305" s="145"/>
      <c r="F305" s="145" t="s">
        <v>463</v>
      </c>
      <c r="G305" s="146"/>
      <c r="H305" s="142"/>
      <c r="I305" s="48"/>
      <c r="J305" s="48"/>
      <c r="K305" s="48"/>
      <c r="L305" s="48"/>
      <c r="M305" s="48"/>
      <c r="N305" s="48"/>
      <c r="O305" s="48"/>
      <c r="P305" s="48"/>
      <c r="Q305" s="48"/>
      <c r="R305" s="48"/>
      <c r="S305" s="48"/>
    </row>
    <row r="306" spans="1:19" ht="12.75" customHeight="1">
      <c r="A306" s="149"/>
      <c r="B306" s="151">
        <f>C302</f>
        <v>2013</v>
      </c>
      <c r="C306" s="151">
        <f>D302</f>
        <v>2014</v>
      </c>
      <c r="D306" s="151">
        <f>E302</f>
        <v>2015</v>
      </c>
      <c r="E306" s="151">
        <f>C302</f>
        <v>2013</v>
      </c>
      <c r="F306" s="151">
        <f>D302</f>
        <v>2014</v>
      </c>
      <c r="G306" s="151">
        <f>E302</f>
        <v>2015</v>
      </c>
      <c r="H306" s="142"/>
      <c r="I306" s="48"/>
      <c r="J306" s="48"/>
      <c r="K306" s="48"/>
      <c r="L306" s="48"/>
      <c r="M306" s="48"/>
      <c r="N306" s="48"/>
      <c r="O306" s="48"/>
      <c r="P306" s="48"/>
      <c r="Q306" s="48"/>
      <c r="R306" s="48"/>
      <c r="S306" s="48"/>
    </row>
    <row r="307" spans="1:19" ht="12.75" customHeight="1">
      <c r="A307" s="149"/>
      <c r="B307" s="155">
        <f>IF(ISERROR(D29),"",D29)</f>
        <v>0.12354575295288828</v>
      </c>
      <c r="C307" s="155">
        <f>IF(ISERROR(E29),"",E29)</f>
        <v>0.12744774377120346</v>
      </c>
      <c r="D307" s="155">
        <f>IF(ISERROR(F29),"",F29)</f>
        <v>0.13520798217370206</v>
      </c>
      <c r="E307" s="152">
        <f>IF(ISERROR(D30),"",D30)</f>
        <v>1.5065743138139127</v>
      </c>
      <c r="F307" s="152">
        <f>IF(ISERROR(E30),"",E30)</f>
        <v>1.477152710421382</v>
      </c>
      <c r="G307" s="152">
        <f>IF(ISERROR(F30),"",F30)</f>
        <v>1.6520231198923063</v>
      </c>
      <c r="H307" s="142"/>
      <c r="I307" s="48"/>
      <c r="J307" s="48"/>
      <c r="K307" s="48"/>
      <c r="L307" s="48"/>
      <c r="M307" s="48"/>
      <c r="N307" s="48"/>
      <c r="O307" s="48"/>
      <c r="P307" s="48"/>
      <c r="Q307" s="48"/>
      <c r="R307" s="48"/>
      <c r="S307" s="48"/>
    </row>
    <row r="308" spans="1:19" ht="12.75" customHeight="1">
      <c r="A308" s="149"/>
      <c r="B308" s="136"/>
      <c r="C308" s="136"/>
      <c r="D308" s="136"/>
      <c r="E308" s="136"/>
      <c r="F308" s="136"/>
      <c r="G308" s="136"/>
      <c r="H308" s="142"/>
      <c r="I308" s="48"/>
      <c r="J308" s="48"/>
      <c r="K308" s="48"/>
      <c r="L308" s="48"/>
      <c r="M308" s="48"/>
      <c r="N308" s="48"/>
      <c r="O308" s="48"/>
      <c r="P308" s="48"/>
      <c r="Q308" s="48"/>
      <c r="R308" s="48"/>
      <c r="S308" s="48"/>
    </row>
    <row r="309" spans="1:19" ht="12.75" customHeight="1">
      <c r="A309" s="144" t="s">
        <v>464</v>
      </c>
      <c r="B309" s="151">
        <f t="shared" ref="B309:G309" si="1">B306</f>
        <v>2013</v>
      </c>
      <c r="C309" s="151">
        <f t="shared" si="1"/>
        <v>2014</v>
      </c>
      <c r="D309" s="151">
        <f t="shared" si="1"/>
        <v>2015</v>
      </c>
      <c r="E309" s="151">
        <f t="shared" si="1"/>
        <v>2013</v>
      </c>
      <c r="F309" s="151">
        <f t="shared" si="1"/>
        <v>2014</v>
      </c>
      <c r="G309" s="151">
        <f t="shared" si="1"/>
        <v>2015</v>
      </c>
      <c r="H309" s="153" t="s">
        <v>361</v>
      </c>
      <c r="I309" s="48"/>
      <c r="J309" s="48" t="s">
        <v>369</v>
      </c>
      <c r="K309" s="48"/>
      <c r="L309" s="48"/>
      <c r="M309" s="48"/>
      <c r="N309" s="48"/>
      <c r="O309" s="48"/>
      <c r="P309" s="48"/>
      <c r="Q309" s="48"/>
      <c r="R309" s="48"/>
      <c r="S309" s="48"/>
    </row>
    <row r="310" spans="1:19" ht="12.75" customHeight="1">
      <c r="A310" s="154" t="str">
        <f>A131</f>
        <v>Revenues</v>
      </c>
      <c r="B310" s="155">
        <f t="shared" ref="B310:D313" si="2">IF(ISERROR(D131),"",D131)</f>
        <v>1</v>
      </c>
      <c r="C310" s="155">
        <f t="shared" si="2"/>
        <v>1</v>
      </c>
      <c r="D310" s="155">
        <f t="shared" si="2"/>
        <v>1</v>
      </c>
      <c r="E310" s="152">
        <f>IF(ISERROR(D88),"",D88)</f>
        <v>28.390718991692925</v>
      </c>
      <c r="F310" s="152">
        <f>IF(ISERROR(E88),"",E88)</f>
        <v>27.587722240858771</v>
      </c>
      <c r="G310" s="152">
        <f>IF(ISERROR(F88),"",F88)</f>
        <v>28.389185185185188</v>
      </c>
      <c r="H310" s="153" t="s">
        <v>260</v>
      </c>
      <c r="I310" s="48"/>
      <c r="J310" s="48"/>
      <c r="K310" s="48"/>
      <c r="L310" s="48"/>
      <c r="M310" s="48"/>
      <c r="N310" s="48"/>
      <c r="O310" s="48"/>
      <c r="P310" s="48"/>
      <c r="Q310" s="48"/>
      <c r="R310" s="48"/>
      <c r="S310" s="48"/>
    </row>
    <row r="311" spans="1:19" ht="12.75" customHeight="1">
      <c r="A311" s="154" t="str">
        <f>A132</f>
        <v>&lt;Cost of sales and occupancy expense&gt;</v>
      </c>
      <c r="B311" s="155">
        <f t="shared" si="2"/>
        <v>-0.42929884036914473</v>
      </c>
      <c r="C311" s="155">
        <f t="shared" si="2"/>
        <v>-0.41700409781247344</v>
      </c>
      <c r="D311" s="155">
        <f t="shared" si="2"/>
        <v>-0.40638845256670508</v>
      </c>
      <c r="E311" s="152">
        <f>IF(ISERROR(D90),"",D90)</f>
        <v>5.425511114889277</v>
      </c>
      <c r="F311" s="152">
        <f>IF(ISERROR(E90),"",E90)</f>
        <v>6.2293265519277048</v>
      </c>
      <c r="G311" s="152">
        <f>IF(ISERROR(F90),"",F90)</f>
        <v>6.4968923372126968</v>
      </c>
      <c r="H311" s="153" t="s">
        <v>261</v>
      </c>
      <c r="I311" s="48"/>
      <c r="J311" s="48"/>
      <c r="K311" s="48"/>
      <c r="L311" s="48"/>
      <c r="M311" s="48"/>
      <c r="N311" s="48"/>
      <c r="O311" s="48"/>
      <c r="P311" s="48"/>
      <c r="Q311" s="48"/>
      <c r="R311" s="48"/>
      <c r="S311" s="48"/>
    </row>
    <row r="312" spans="1:19" ht="12.75" customHeight="1">
      <c r="A312" s="154" t="str">
        <f>A133</f>
        <v xml:space="preserve">  Gross Profit</v>
      </c>
      <c r="B312" s="155">
        <f t="shared" si="2"/>
        <v>0.57070115963085533</v>
      </c>
      <c r="C312" s="155">
        <f t="shared" si="2"/>
        <v>0.58299590218752662</v>
      </c>
      <c r="D312" s="155">
        <f t="shared" si="2"/>
        <v>0.59361154743329492</v>
      </c>
      <c r="E312" s="152">
        <f>IF(ISERROR(D95),"",D95)</f>
        <v>5.0745127487456054</v>
      </c>
      <c r="F312" s="152">
        <f>IF(ISERROR(E95),"",E95)</f>
        <v>4.8955428231267204</v>
      </c>
      <c r="G312" s="152">
        <f>IF(ISERROR(F95),"",F95)</f>
        <v>5.0379766802939292</v>
      </c>
      <c r="H312" s="153" t="s">
        <v>262</v>
      </c>
      <c r="I312" s="48"/>
      <c r="J312" s="48"/>
      <c r="K312" s="48"/>
      <c r="L312" s="48"/>
      <c r="M312" s="48"/>
      <c r="N312" s="48"/>
      <c r="O312" s="48"/>
      <c r="P312" s="48"/>
      <c r="Q312" s="48"/>
      <c r="R312" s="48"/>
      <c r="S312" s="48"/>
    </row>
    <row r="313" spans="1:19" ht="12.75" customHeight="1">
      <c r="A313" s="154" t="str">
        <f>A134</f>
        <v>&lt;Store Operating Expenses&gt;</v>
      </c>
      <c r="B313" s="155">
        <f t="shared" si="2"/>
        <v>-0.28830010493179437</v>
      </c>
      <c r="C313" s="155">
        <f t="shared" si="2"/>
        <v>-0.28199516044698986</v>
      </c>
      <c r="D313" s="155">
        <f t="shared" si="2"/>
        <v>-0.28237670056933523</v>
      </c>
      <c r="E313" s="152"/>
      <c r="F313" s="152"/>
      <c r="G313" s="152"/>
      <c r="H313" s="153"/>
      <c r="I313" s="48"/>
      <c r="J313" s="48"/>
      <c r="K313" s="48"/>
      <c r="L313" s="48"/>
      <c r="M313" s="48"/>
      <c r="N313" s="48"/>
      <c r="O313" s="48"/>
      <c r="P313" s="48"/>
      <c r="Q313" s="48"/>
      <c r="R313" s="48"/>
      <c r="S313" s="48"/>
    </row>
    <row r="314" spans="1:19" ht="12.75" customHeight="1">
      <c r="A314" s="154" t="str">
        <f>A142</f>
        <v xml:space="preserve">  Operating Profit</v>
      </c>
      <c r="B314" s="155">
        <f>IF(ISERROR(D142),"",D142)</f>
        <v>-2.1887696074474706E-2</v>
      </c>
      <c r="C314" s="155">
        <f>IF(ISERROR(E142),"",E142)</f>
        <v>0.18732596456668979</v>
      </c>
      <c r="D314" s="155">
        <f>IF(ISERROR(F142),"",F142)</f>
        <v>0.18791715154962513</v>
      </c>
      <c r="E314" s="152"/>
      <c r="F314" s="152"/>
      <c r="G314" s="152"/>
      <c r="H314" s="153"/>
      <c r="I314" s="48"/>
      <c r="J314" s="48"/>
      <c r="K314" s="48"/>
      <c r="L314" s="48"/>
      <c r="M314" s="48"/>
      <c r="N314" s="48"/>
      <c r="O314" s="48"/>
      <c r="P314" s="48"/>
      <c r="Q314" s="48"/>
      <c r="R314" s="48"/>
      <c r="S314" s="48"/>
    </row>
    <row r="315" spans="1:19" ht="12.75" customHeight="1">
      <c r="A315" s="154" t="str">
        <f>A147</f>
        <v xml:space="preserve">  Income before Tax</v>
      </c>
      <c r="B315" s="155">
        <f t="shared" ref="B315:D316" si="3">IF(ISERROR(D147),"",D147)</f>
        <v>-1.5463986870072952E-2</v>
      </c>
      <c r="C315" s="155">
        <f t="shared" si="3"/>
        <v>0.19210471917216895</v>
      </c>
      <c r="D315" s="155">
        <f t="shared" si="3"/>
        <v>0.2036769348786967</v>
      </c>
      <c r="E315" s="152"/>
      <c r="F315" s="152"/>
      <c r="G315" s="152"/>
      <c r="H315" s="156"/>
      <c r="I315" s="48"/>
      <c r="J315" s="48"/>
      <c r="K315" s="48"/>
      <c r="L315" s="48"/>
      <c r="M315" s="48"/>
      <c r="N315" s="48"/>
      <c r="O315" s="48"/>
      <c r="P315" s="48"/>
      <c r="Q315" s="48"/>
      <c r="R315" s="48"/>
      <c r="S315" s="48"/>
    </row>
    <row r="316" spans="1:19" ht="12.75" customHeight="1">
      <c r="A316" s="157" t="str">
        <f>A148</f>
        <v>&lt;Income tax expense&gt;</v>
      </c>
      <c r="B316" s="155">
        <f t="shared" si="3"/>
        <v>1.6055909812468051E-2</v>
      </c>
      <c r="C316" s="155">
        <f t="shared" si="3"/>
        <v>-6.6391857877649299E-2</v>
      </c>
      <c r="D316" s="150">
        <f t="shared" si="3"/>
        <v>-5.9683656269732342E-2</v>
      </c>
      <c r="E316" s="136"/>
      <c r="F316" s="136"/>
      <c r="G316" s="136"/>
      <c r="H316" s="142"/>
      <c r="I316" s="48"/>
      <c r="J316" s="48"/>
      <c r="K316" s="48"/>
      <c r="L316" s="48"/>
      <c r="M316" s="48"/>
      <c r="N316" s="48"/>
      <c r="O316" s="48"/>
      <c r="P316" s="48"/>
      <c r="Q316" s="48"/>
      <c r="R316" s="48"/>
      <c r="S316" s="48"/>
    </row>
    <row r="317" spans="1:19" ht="12.75" customHeight="1">
      <c r="A317" s="154" t="s">
        <v>528</v>
      </c>
      <c r="B317" s="155">
        <f>IF(ISERROR(D29),"",D29)</f>
        <v>0.12354575295288828</v>
      </c>
      <c r="C317" s="155">
        <f>IF(ISERROR(E29),"",E29)</f>
        <v>0.12744774377120346</v>
      </c>
      <c r="D317" s="155">
        <f>IF(ISERROR(F29),"",F29)</f>
        <v>0.13520798217370206</v>
      </c>
      <c r="E317" s="136"/>
      <c r="F317" s="136"/>
      <c r="G317" s="136"/>
      <c r="H317" s="142"/>
      <c r="I317" s="48"/>
      <c r="J317" s="48"/>
      <c r="K317" s="48"/>
      <c r="L317" s="48"/>
      <c r="M317" s="48"/>
      <c r="N317" s="48"/>
      <c r="O317" s="48"/>
      <c r="P317" s="48"/>
      <c r="Q317" s="48"/>
      <c r="R317" s="48"/>
      <c r="S317" s="48"/>
    </row>
    <row r="318" spans="1:19" ht="12.75" customHeight="1">
      <c r="A318" s="158" t="s">
        <v>529</v>
      </c>
      <c r="B318" s="155"/>
      <c r="C318" s="155"/>
      <c r="D318" s="155"/>
      <c r="E318" s="136"/>
      <c r="F318" s="136"/>
      <c r="G318" s="136"/>
      <c r="H318" s="142"/>
      <c r="I318" s="48"/>
      <c r="J318" s="48"/>
      <c r="K318" s="48"/>
      <c r="L318" s="48"/>
      <c r="M318" s="48"/>
      <c r="N318" s="48"/>
      <c r="O318" s="48"/>
      <c r="P318" s="48"/>
      <c r="Q318" s="48"/>
      <c r="R318" s="48"/>
      <c r="S318" s="48"/>
    </row>
    <row r="319" spans="1:19" ht="12.75" customHeight="1">
      <c r="A319" s="159"/>
      <c r="B319" s="155"/>
      <c r="C319" s="155"/>
      <c r="D319" s="155"/>
      <c r="E319" s="160"/>
      <c r="F319" s="161"/>
      <c r="G319" s="62"/>
      <c r="H319" s="142"/>
      <c r="I319" s="48"/>
      <c r="J319" s="48"/>
      <c r="K319" s="48"/>
      <c r="L319" s="48"/>
      <c r="M319" s="48"/>
      <c r="N319" s="48"/>
      <c r="O319" s="48"/>
      <c r="P319" s="48"/>
      <c r="Q319" s="48"/>
      <c r="R319" s="48"/>
      <c r="S319" s="48"/>
    </row>
    <row r="320" spans="1:19" ht="12.75" customHeight="1" thickBot="1">
      <c r="A320" s="162"/>
      <c r="B320" s="80"/>
      <c r="C320" s="80"/>
      <c r="D320" s="80"/>
      <c r="E320" s="80"/>
      <c r="F320" s="80"/>
      <c r="G320" s="80"/>
      <c r="H320" s="142"/>
      <c r="I320" s="48"/>
      <c r="J320" s="48"/>
      <c r="K320" s="48"/>
      <c r="L320" s="48"/>
      <c r="M320" s="48"/>
      <c r="N320" s="48"/>
      <c r="O320" s="48"/>
      <c r="P320" s="48"/>
      <c r="Q320" s="48"/>
      <c r="R320" s="48"/>
      <c r="S320" s="48"/>
    </row>
    <row r="321" spans="1:19" ht="12.75" customHeight="1" thickBot="1">
      <c r="A321" s="103" t="s">
        <v>231</v>
      </c>
      <c r="B321" s="104"/>
      <c r="C321" s="104"/>
      <c r="D321" s="104"/>
      <c r="E321" s="104"/>
      <c r="F321" s="104"/>
      <c r="G321" s="104"/>
      <c r="H321" s="105"/>
      <c r="I321" s="48"/>
      <c r="J321" s="48"/>
      <c r="K321" s="48"/>
      <c r="L321" s="48"/>
      <c r="M321" s="48"/>
      <c r="N321" s="48"/>
      <c r="O321" s="48"/>
      <c r="P321" s="48"/>
      <c r="Q321" s="48"/>
      <c r="R321" s="48"/>
      <c r="S321" s="48"/>
    </row>
    <row r="322" spans="1:19" ht="12.75" customHeight="1">
      <c r="A322" s="162"/>
      <c r="B322" s="62"/>
      <c r="C322" s="62"/>
      <c r="D322" s="62"/>
      <c r="E322" s="62"/>
      <c r="F322" s="62"/>
      <c r="G322" s="62"/>
      <c r="H322" s="142"/>
      <c r="I322" s="48"/>
      <c r="J322" s="48"/>
      <c r="K322" s="48"/>
      <c r="L322" s="48"/>
      <c r="M322" s="48"/>
      <c r="N322" s="48"/>
      <c r="O322" s="48"/>
      <c r="P322" s="48"/>
      <c r="Q322" s="48"/>
      <c r="R322" s="48"/>
      <c r="S322" s="48"/>
    </row>
    <row r="323" spans="1:19" ht="12.75" customHeight="1">
      <c r="A323" s="162"/>
      <c r="B323" s="163"/>
      <c r="C323" s="145" t="s">
        <v>466</v>
      </c>
      <c r="D323" s="163"/>
      <c r="E323" s="62"/>
      <c r="G323" s="62"/>
      <c r="H323" s="142"/>
      <c r="I323" s="48"/>
      <c r="J323" s="48"/>
      <c r="K323" s="48"/>
      <c r="L323" s="48"/>
      <c r="M323" s="48"/>
      <c r="N323" s="48"/>
      <c r="O323" s="48"/>
      <c r="P323" s="48"/>
      <c r="Q323" s="48"/>
      <c r="R323" s="48"/>
      <c r="S323" s="48"/>
    </row>
    <row r="324" spans="1:19" ht="12.75" customHeight="1">
      <c r="A324" s="162"/>
      <c r="B324" s="151">
        <f>C302</f>
        <v>2013</v>
      </c>
      <c r="C324" s="151">
        <f>D302</f>
        <v>2014</v>
      </c>
      <c r="D324" s="151">
        <f>E302</f>
        <v>2015</v>
      </c>
      <c r="E324" s="62"/>
      <c r="F324" s="62"/>
      <c r="G324" s="62"/>
      <c r="H324" s="142"/>
      <c r="I324" s="48"/>
      <c r="J324" s="48"/>
      <c r="K324" s="48"/>
      <c r="L324" s="48"/>
      <c r="M324" s="48"/>
      <c r="N324" s="48"/>
      <c r="O324" s="48"/>
      <c r="P324" s="48"/>
      <c r="Q324" s="48"/>
      <c r="R324" s="48"/>
      <c r="S324" s="48"/>
    </row>
    <row r="325" spans="1:19" ht="12.75" customHeight="1">
      <c r="A325" s="162"/>
      <c r="B325" s="161">
        <f>IF(ISERROR(D43),"",D43)</f>
        <v>0.37916927376632031</v>
      </c>
      <c r="C325" s="161">
        <f>IF(ISERROR(E43),"",E43)</f>
        <v>0.42143721416705976</v>
      </c>
      <c r="D325" s="161">
        <f>IF(ISERROR(F43),"",F43)</f>
        <v>0.45865193868349874</v>
      </c>
      <c r="E325" s="62"/>
      <c r="F325" s="62"/>
      <c r="G325" s="62"/>
      <c r="H325" s="142"/>
      <c r="I325" s="48"/>
      <c r="J325" s="48"/>
      <c r="K325" s="48"/>
      <c r="L325" s="48"/>
      <c r="M325" s="48"/>
      <c r="N325" s="48"/>
      <c r="O325" s="48"/>
      <c r="P325" s="48"/>
      <c r="Q325" s="48"/>
      <c r="R325" s="48"/>
      <c r="S325" s="48"/>
    </row>
    <row r="326" spans="1:19" ht="12.75" customHeight="1">
      <c r="A326" s="162"/>
      <c r="B326" s="136"/>
      <c r="C326" s="136"/>
      <c r="D326" s="136"/>
      <c r="E326" s="62"/>
      <c r="F326" s="62"/>
      <c r="G326" s="62"/>
      <c r="H326" s="142"/>
      <c r="I326" s="48"/>
      <c r="J326" s="48"/>
      <c r="K326" s="48"/>
      <c r="L326" s="48"/>
      <c r="M326" s="48"/>
      <c r="N326" s="48"/>
      <c r="O326" s="48"/>
      <c r="P326" s="48"/>
      <c r="Q326" s="48"/>
      <c r="R326" s="48"/>
      <c r="S326" s="48"/>
    </row>
    <row r="327" spans="1:19" ht="12.75" customHeight="1">
      <c r="A327" s="162"/>
      <c r="B327" s="151">
        <f>B324</f>
        <v>2013</v>
      </c>
      <c r="C327" s="151">
        <f>C324</f>
        <v>2014</v>
      </c>
      <c r="D327" s="151">
        <f>D324</f>
        <v>2015</v>
      </c>
      <c r="E327" s="62"/>
      <c r="F327" s="62"/>
      <c r="G327" s="62"/>
      <c r="H327" s="142"/>
      <c r="I327" s="48"/>
      <c r="J327" s="48"/>
      <c r="K327" s="48"/>
      <c r="L327" s="48"/>
      <c r="M327" s="48"/>
      <c r="N327" s="48"/>
      <c r="O327" s="48"/>
      <c r="P327" s="48"/>
      <c r="Q327" s="48"/>
      <c r="R327" s="48"/>
      <c r="S327" s="48"/>
    </row>
    <row r="328" spans="1:19" ht="12.75" customHeight="1">
      <c r="A328" s="144" t="s">
        <v>467</v>
      </c>
      <c r="B328" s="161">
        <f t="shared" ref="B328:D330" si="4">IF(ISERROR(D40),"",D40)</f>
        <v>0.12228354454220139</v>
      </c>
      <c r="C328" s="161">
        <f t="shared" si="4"/>
        <v>0.12493889760332691</v>
      </c>
      <c r="D328" s="150">
        <f t="shared" si="4"/>
        <v>0.13271746674529167</v>
      </c>
      <c r="E328" s="62"/>
      <c r="F328" s="62"/>
      <c r="G328" s="62"/>
      <c r="H328" s="142"/>
      <c r="I328" s="48"/>
      <c r="J328" s="48"/>
      <c r="K328" s="48"/>
      <c r="L328" s="48"/>
      <c r="M328" s="48"/>
      <c r="N328" s="48"/>
      <c r="O328" s="48"/>
      <c r="P328" s="48"/>
      <c r="Q328" s="48"/>
      <c r="R328" s="48"/>
      <c r="S328" s="48"/>
    </row>
    <row r="329" spans="1:19" ht="12.75" customHeight="1">
      <c r="A329" s="144" t="s">
        <v>463</v>
      </c>
      <c r="B329" s="164">
        <f t="shared" si="4"/>
        <v>1.5065743138139127</v>
      </c>
      <c r="C329" s="164">
        <f t="shared" si="4"/>
        <v>1.477152710421382</v>
      </c>
      <c r="D329" s="164">
        <f t="shared" si="4"/>
        <v>1.6520231198923063</v>
      </c>
      <c r="E329" s="62"/>
      <c r="F329" s="62"/>
      <c r="G329" s="62"/>
      <c r="H329" s="142"/>
      <c r="I329" s="48"/>
      <c r="J329" s="48"/>
      <c r="K329" s="48"/>
      <c r="L329" s="48"/>
      <c r="M329" s="48"/>
      <c r="N329" s="48"/>
      <c r="O329" s="48"/>
      <c r="P329" s="48"/>
      <c r="Q329" s="48"/>
      <c r="R329" s="48"/>
      <c r="S329" s="48"/>
    </row>
    <row r="330" spans="1:19" ht="12.75" customHeight="1">
      <c r="A330" s="144" t="s">
        <v>468</v>
      </c>
      <c r="B330" s="152">
        <f t="shared" si="4"/>
        <v>2.0581383222792304</v>
      </c>
      <c r="C330" s="152">
        <f t="shared" si="4"/>
        <v>2.2835462767375558</v>
      </c>
      <c r="D330" s="152">
        <f t="shared" si="4"/>
        <v>2.0918908926961217</v>
      </c>
      <c r="E330" s="62"/>
      <c r="F330" s="62"/>
      <c r="G330" s="62"/>
      <c r="H330" s="142"/>
      <c r="I330" s="48"/>
      <c r="J330" s="48"/>
      <c r="K330" s="48"/>
      <c r="L330" s="48"/>
      <c r="M330" s="48"/>
      <c r="N330" s="48"/>
      <c r="O330" s="48"/>
      <c r="P330" s="48"/>
      <c r="Q330" s="48"/>
      <c r="R330" s="48"/>
      <c r="S330" s="48"/>
    </row>
    <row r="331" spans="1:19" ht="12.75" customHeight="1">
      <c r="A331" s="144"/>
      <c r="B331" s="152"/>
      <c r="C331" s="152"/>
      <c r="D331" s="152"/>
      <c r="E331" s="62"/>
      <c r="F331" s="62"/>
      <c r="G331" s="62"/>
      <c r="H331" s="142"/>
      <c r="I331" s="48"/>
      <c r="J331" s="48"/>
      <c r="K331" s="48"/>
      <c r="L331" s="48"/>
      <c r="M331" s="48"/>
      <c r="N331" s="48"/>
      <c r="O331" s="48"/>
      <c r="P331" s="48"/>
      <c r="Q331" s="48"/>
      <c r="R331" s="48"/>
      <c r="S331" s="48"/>
    </row>
    <row r="332" spans="1:19" ht="12.75" customHeight="1">
      <c r="A332" s="144"/>
      <c r="B332" s="152"/>
      <c r="C332" s="152"/>
      <c r="D332" s="152"/>
      <c r="E332" s="62"/>
      <c r="F332" s="62"/>
      <c r="G332" s="62"/>
      <c r="H332" s="142"/>
      <c r="I332" s="48"/>
      <c r="J332" s="48"/>
      <c r="K332" s="48"/>
      <c r="L332" s="48"/>
      <c r="M332" s="48"/>
      <c r="N332" s="48"/>
      <c r="O332" s="48"/>
      <c r="P332" s="48"/>
      <c r="Q332" s="48"/>
      <c r="R332" s="48"/>
      <c r="S332" s="48"/>
    </row>
    <row r="333" spans="1:19" ht="12.75" customHeight="1" thickBot="1">
      <c r="A333" s="144"/>
      <c r="B333" s="152"/>
      <c r="C333" s="152"/>
      <c r="D333" s="152"/>
      <c r="E333" s="62"/>
      <c r="F333" s="62"/>
      <c r="G333" s="62"/>
      <c r="H333" s="142"/>
      <c r="I333" s="48"/>
      <c r="J333" s="48"/>
      <c r="K333" s="48"/>
      <c r="L333" s="48"/>
      <c r="M333" s="48"/>
      <c r="N333" s="48"/>
      <c r="O333" s="48"/>
      <c r="P333" s="48"/>
      <c r="Q333" s="48"/>
      <c r="R333" s="48"/>
      <c r="S333" s="48"/>
    </row>
    <row r="334" spans="1:19" ht="12.75" customHeight="1" thickBot="1">
      <c r="A334" s="103" t="s">
        <v>691</v>
      </c>
      <c r="B334" s="104"/>
      <c r="C334" s="104"/>
      <c r="D334" s="104"/>
      <c r="E334" s="104"/>
      <c r="F334" s="104"/>
      <c r="G334" s="104"/>
      <c r="H334" s="105"/>
      <c r="I334" s="48"/>
      <c r="J334" s="48"/>
      <c r="K334" s="48"/>
      <c r="L334" s="48"/>
      <c r="M334" s="48"/>
      <c r="N334" s="48"/>
      <c r="O334" s="48"/>
      <c r="P334" s="48"/>
      <c r="Q334" s="48"/>
      <c r="R334" s="48"/>
      <c r="S334" s="48"/>
    </row>
    <row r="335" spans="1:19" ht="12.75" customHeight="1">
      <c r="A335" s="144"/>
      <c r="B335" s="152"/>
      <c r="C335" s="152"/>
      <c r="D335" s="152"/>
      <c r="E335" s="62"/>
      <c r="F335" s="62"/>
      <c r="G335" s="62"/>
      <c r="H335" s="142"/>
      <c r="I335" s="48"/>
      <c r="J335" s="48"/>
      <c r="K335" s="48"/>
      <c r="L335" s="48"/>
      <c r="M335" s="48"/>
      <c r="N335" s="48"/>
      <c r="O335" s="48"/>
      <c r="P335" s="48"/>
      <c r="Q335" s="48"/>
      <c r="R335" s="48"/>
      <c r="S335" s="48"/>
    </row>
    <row r="336" spans="1:19" ht="12.75" customHeight="1">
      <c r="A336" s="162"/>
      <c r="B336" s="163"/>
      <c r="C336" s="145" t="s">
        <v>466</v>
      </c>
      <c r="D336" s="163"/>
      <c r="E336" s="62"/>
      <c r="F336" s="62"/>
      <c r="G336" s="62"/>
      <c r="H336" s="142"/>
      <c r="I336" s="48"/>
      <c r="J336" s="48"/>
      <c r="K336" s="48"/>
      <c r="L336" s="48"/>
      <c r="M336" s="48"/>
      <c r="N336" s="48"/>
      <c r="O336" s="48"/>
      <c r="P336" s="48"/>
      <c r="Q336" s="48"/>
      <c r="R336" s="48"/>
      <c r="S336" s="48"/>
    </row>
    <row r="337" spans="1:19" ht="12.75" customHeight="1">
      <c r="A337" s="162"/>
      <c r="B337" s="148">
        <f>C302</f>
        <v>2013</v>
      </c>
      <c r="C337" s="148">
        <f>D302</f>
        <v>2014</v>
      </c>
      <c r="D337" s="148">
        <f>E302</f>
        <v>2015</v>
      </c>
      <c r="E337" s="62"/>
      <c r="F337" s="62"/>
      <c r="G337" s="62"/>
      <c r="H337" s="142"/>
      <c r="I337" s="48"/>
      <c r="J337" s="48"/>
      <c r="K337" s="48"/>
      <c r="L337" s="48"/>
      <c r="M337" s="48"/>
      <c r="N337" s="48"/>
      <c r="O337" s="48"/>
      <c r="P337" s="48"/>
      <c r="Q337" s="48"/>
      <c r="R337" s="48"/>
      <c r="S337" s="48"/>
    </row>
    <row r="338" spans="1:19" ht="12.75" customHeight="1">
      <c r="A338" s="144" t="s">
        <v>699</v>
      </c>
      <c r="B338" s="161">
        <f>B325</f>
        <v>0.37916927376632031</v>
      </c>
      <c r="C338" s="161">
        <f>C325</f>
        <v>0.42143721416705976</v>
      </c>
      <c r="D338" s="161">
        <f>D325</f>
        <v>0.45865193868349874</v>
      </c>
      <c r="E338" s="62"/>
      <c r="F338" s="62"/>
      <c r="G338" s="62"/>
      <c r="H338" s="142"/>
      <c r="I338" s="48"/>
      <c r="J338" s="48"/>
      <c r="K338" s="48"/>
      <c r="L338" s="48"/>
      <c r="M338" s="48"/>
      <c r="N338" s="48"/>
      <c r="O338" s="48"/>
      <c r="P338" s="48"/>
      <c r="Q338" s="48"/>
      <c r="R338" s="48"/>
      <c r="S338" s="48"/>
    </row>
    <row r="339" spans="1:19" ht="12.75" customHeight="1">
      <c r="A339" s="162"/>
      <c r="B339" s="136"/>
      <c r="C339" s="136"/>
      <c r="D339" s="136"/>
      <c r="E339" s="62"/>
      <c r="F339" s="62"/>
      <c r="G339" s="62"/>
      <c r="H339" s="142"/>
      <c r="I339" s="48"/>
      <c r="J339" s="48"/>
      <c r="K339" s="48"/>
      <c r="L339" s="48"/>
      <c r="M339" s="48"/>
      <c r="N339" s="48"/>
      <c r="O339" s="48"/>
      <c r="P339" s="48"/>
      <c r="Q339" s="48"/>
      <c r="R339" s="48"/>
      <c r="S339" s="48"/>
    </row>
    <row r="340" spans="1:19" ht="12.75" customHeight="1">
      <c r="A340" s="144" t="s">
        <v>692</v>
      </c>
      <c r="B340" s="151"/>
      <c r="C340" s="151"/>
      <c r="D340" s="151"/>
      <c r="E340" s="62"/>
      <c r="F340" s="62"/>
      <c r="G340" s="62"/>
      <c r="H340" s="142"/>
      <c r="I340" s="48"/>
      <c r="J340" s="48"/>
      <c r="K340" s="48"/>
      <c r="L340" s="48"/>
      <c r="M340" s="48"/>
      <c r="N340" s="48"/>
      <c r="O340" s="48"/>
      <c r="P340" s="48"/>
      <c r="Q340" s="48"/>
      <c r="R340" s="48"/>
      <c r="S340" s="48"/>
    </row>
    <row r="341" spans="1:19" ht="12.75" customHeight="1">
      <c r="A341" s="144" t="s">
        <v>695</v>
      </c>
      <c r="B341" s="536">
        <f>Data!E65</f>
        <v>14866.8</v>
      </c>
      <c r="C341" s="536">
        <f>Data!F65</f>
        <v>16447.8</v>
      </c>
      <c r="D341" s="536">
        <f>Data!G65</f>
        <v>19162.7</v>
      </c>
      <c r="E341" s="62"/>
      <c r="F341" s="62"/>
      <c r="G341" s="62"/>
      <c r="H341" s="142"/>
      <c r="I341" s="48"/>
      <c r="J341" s="533"/>
      <c r="K341" s="534"/>
      <c r="L341" s="534"/>
      <c r="M341" s="534"/>
      <c r="N341" s="534"/>
      <c r="O341" s="48"/>
      <c r="P341" s="48"/>
      <c r="Q341" s="48"/>
      <c r="R341" s="48"/>
      <c r="S341" s="48"/>
    </row>
    <row r="342" spans="1:19" ht="12.75" customHeight="1">
      <c r="A342" s="144" t="s">
        <v>693</v>
      </c>
      <c r="B342" s="536">
        <f>Data!E86-Data!E78*(1+Data!E82/Data!E81)-Data!E146-Data!E144</f>
        <v>1817.389401913875</v>
      </c>
      <c r="C342" s="536">
        <f>Data!F86-Data!F78*(1+Data!F82/Data!F81)-Data!F146-Data!F144</f>
        <v>2096.5168841978671</v>
      </c>
      <c r="D342" s="536">
        <f>Data!G86-Data!G78*(1+Data!G82/Data!G81)-Data!G146-Data!G144</f>
        <v>2594.9663143735597</v>
      </c>
      <c r="E342" s="536"/>
      <c r="F342" s="536"/>
      <c r="G342" s="160"/>
      <c r="H342" s="142"/>
      <c r="I342" s="48"/>
      <c r="J342" s="533"/>
      <c r="K342" s="534"/>
      <c r="L342" s="534"/>
      <c r="M342" s="534"/>
      <c r="N342" s="534"/>
      <c r="O342" s="48"/>
      <c r="P342" s="48"/>
      <c r="Q342" s="48"/>
      <c r="R342" s="48"/>
      <c r="S342" s="48"/>
    </row>
    <row r="343" spans="1:19" ht="12.75" customHeight="1">
      <c r="A343" s="144" t="s">
        <v>694</v>
      </c>
      <c r="B343" s="536">
        <f>(-Data!E78*(1+Data!E82/Data!E81)-Data!E87+Data!E146)</f>
        <v>-0.57559808612433261</v>
      </c>
      <c r="C343" s="536">
        <f>(-Data!F78*(1+Data!F82/Data!F81)-Data!F87+Data!F146)</f>
        <v>41.546884197866881</v>
      </c>
      <c r="D343" s="536">
        <f>(-Data!G78*(1+Data!G82/Data!G81)-Data!G87+Data!G146)</f>
        <v>51.741314373558808</v>
      </c>
      <c r="E343" s="536"/>
      <c r="F343" s="536"/>
      <c r="H343" s="142"/>
      <c r="I343" s="48"/>
      <c r="J343" s="533"/>
      <c r="K343" s="534"/>
      <c r="L343" s="534"/>
      <c r="M343" s="534"/>
      <c r="N343" s="534"/>
      <c r="O343" s="48"/>
      <c r="P343" s="48"/>
      <c r="Q343" s="48"/>
      <c r="R343" s="48"/>
      <c r="S343" s="48"/>
    </row>
    <row r="344" spans="1:19" ht="12.75" customHeight="1">
      <c r="A344" s="144" t="s">
        <v>696</v>
      </c>
      <c r="B344" s="531">
        <f>((Data!E33-Data!E36-Data!E37-Data!E40-Data!E41-Data!E42-Data!E43-Data!E46-Data!E47-Data!E48-Data!E49)+(Data!D33-Data!D36-Data!D37-Data!D40-Data!D41-Data!D42-Data!D43-Data!D46-Data!D47-Data!D48-Data!D49))/2</f>
        <v>5722.8999999999978</v>
      </c>
      <c r="C344" s="531">
        <f>((Data!F33-Data!F36-Data!F37-Data!F40-Data!F41-Data!F42-Data!F43-Data!F46-Data!F47-Data!F48-Data!F49)+(Data!E33-Data!E36-Data!E37-Data!E40-Data!E41-Data!E42-Data!E43-Data!E46-Data!E47-Data!E48-Data!E49))/2</f>
        <v>6551.8499999999967</v>
      </c>
      <c r="D344" s="531">
        <f>((Data!G33-Data!G36-Data!G37-Data!G40-Data!G41-Data!G42-Data!G43-Data!G46-Data!G47-Data!G48-Data!G49)+(Data!F33-Data!F36-Data!F37-Data!F40-Data!F41-Data!F42-Data!F43-Data!F46-Data!F47-Data!F48-Data!F49))/2</f>
        <v>7744.6849999999977</v>
      </c>
      <c r="E344" s="160"/>
      <c r="F344" s="160"/>
      <c r="G344" s="62"/>
      <c r="H344" s="142"/>
      <c r="I344" s="48"/>
      <c r="J344" s="533"/>
      <c r="K344" s="48"/>
      <c r="L344" s="48"/>
      <c r="M344" s="48"/>
      <c r="N344" s="48"/>
      <c r="O344" s="48"/>
      <c r="P344" s="48"/>
      <c r="Q344" s="48"/>
      <c r="R344" s="48"/>
      <c r="S344" s="48"/>
    </row>
    <row r="345" spans="1:19" ht="12.75" customHeight="1">
      <c r="A345" s="144" t="s">
        <v>697</v>
      </c>
      <c r="B345" s="531">
        <f>((Data!E38+Data!E39+Data!E45+Data!E52+Data!E58)+(Data!D38+Data!D39+Data!D45+Data!D52+Data!D58))/2</f>
        <v>928.3</v>
      </c>
      <c r="C345" s="531">
        <f>((Data!F38+Data!F39+Data!F45+Data!F52+Data!F58)+(Data!E38+Data!E39+Data!E45+Data!E52+Data!E58))/2</f>
        <v>1675.75</v>
      </c>
      <c r="D345" s="531">
        <f>((Data!G38+Data!G39+Data!G45+Data!G52+Data!G58)+(Data!F38+Data!F39+Data!F45+Data!F52+Data!F58))/2</f>
        <v>2199.65</v>
      </c>
      <c r="E345" s="160"/>
      <c r="F345" s="160"/>
      <c r="G345" s="62"/>
      <c r="H345" s="142"/>
      <c r="I345" s="48"/>
      <c r="J345" s="48"/>
      <c r="K345" s="48"/>
      <c r="L345" s="48"/>
      <c r="M345" s="48"/>
      <c r="N345" s="48"/>
      <c r="O345" s="48"/>
      <c r="P345" s="48"/>
      <c r="Q345" s="48"/>
      <c r="R345" s="48"/>
      <c r="S345" s="48"/>
    </row>
    <row r="346" spans="1:19" ht="12.75" customHeight="1">
      <c r="A346" s="144" t="s">
        <v>698</v>
      </c>
      <c r="B346" s="531">
        <f>(Data!E57+Data!D57)/2</f>
        <v>4794.6000000000004</v>
      </c>
      <c r="C346" s="531">
        <f>(Data!F57+Data!E57)/2</f>
        <v>4876.1000000000004</v>
      </c>
      <c r="D346" s="531">
        <f>(Data!G57+Data!F57)/2</f>
        <v>5545.0000000000009</v>
      </c>
      <c r="E346" s="160"/>
      <c r="F346" s="160"/>
      <c r="G346" s="62"/>
      <c r="H346" s="142"/>
      <c r="I346" s="48"/>
      <c r="J346" s="48"/>
      <c r="K346" s="48"/>
      <c r="L346" s="48"/>
      <c r="M346" s="48"/>
      <c r="N346" s="48"/>
      <c r="O346" s="48"/>
      <c r="P346" s="48"/>
      <c r="Q346" s="48"/>
      <c r="R346" s="48"/>
      <c r="S346" s="48"/>
    </row>
    <row r="347" spans="1:19" ht="12.75" customHeight="1">
      <c r="A347" s="144"/>
      <c r="B347" s="531"/>
      <c r="C347" s="531"/>
      <c r="D347" s="531"/>
      <c r="E347" s="160"/>
      <c r="F347" s="160"/>
      <c r="G347" s="62"/>
      <c r="H347" s="142"/>
      <c r="I347" s="48"/>
      <c r="J347" s="48"/>
      <c r="K347" s="48"/>
      <c r="L347" s="48"/>
      <c r="M347" s="48"/>
      <c r="N347" s="48"/>
      <c r="O347" s="48"/>
      <c r="P347" s="48"/>
      <c r="Q347" s="48"/>
      <c r="R347" s="48"/>
      <c r="S347" s="48"/>
    </row>
    <row r="348" spans="1:19" ht="12.75" customHeight="1">
      <c r="A348" s="144" t="s">
        <v>705</v>
      </c>
      <c r="B348" s="535">
        <f>B342/B341</f>
        <v>0.12224482752938595</v>
      </c>
      <c r="C348" s="535">
        <f>C342/C341</f>
        <v>0.12746488188072977</v>
      </c>
      <c r="D348" s="535">
        <f>D342/D341</f>
        <v>0.13541757238664487</v>
      </c>
      <c r="E348" s="160"/>
      <c r="F348" s="160"/>
      <c r="G348" s="62"/>
      <c r="H348" s="142"/>
      <c r="I348" s="48"/>
      <c r="J348" s="48"/>
      <c r="K348" s="48"/>
      <c r="L348" s="48"/>
      <c r="M348" s="48"/>
      <c r="N348" s="48"/>
      <c r="O348" s="48"/>
      <c r="P348" s="48"/>
      <c r="Q348" s="48"/>
      <c r="R348" s="48"/>
      <c r="S348" s="48"/>
    </row>
    <row r="349" spans="1:19" ht="12.75" customHeight="1">
      <c r="A349" s="144" t="s">
        <v>706</v>
      </c>
      <c r="B349" s="532">
        <f>B341/B344</f>
        <v>2.5977738559122132</v>
      </c>
      <c r="C349" s="532">
        <f>C341/C344</f>
        <v>2.5104054580004131</v>
      </c>
      <c r="D349" s="532">
        <f>D341/D344</f>
        <v>2.4743033448100222</v>
      </c>
      <c r="E349" s="62"/>
      <c r="F349" s="62"/>
      <c r="G349" s="62"/>
      <c r="H349" s="142"/>
      <c r="I349" s="48"/>
      <c r="J349" s="48"/>
      <c r="K349" s="48"/>
      <c r="L349" s="48"/>
      <c r="M349" s="48"/>
      <c r="N349" s="48"/>
      <c r="O349" s="48"/>
      <c r="P349" s="48"/>
      <c r="Q349" s="48"/>
      <c r="R349" s="48"/>
      <c r="S349" s="48"/>
    </row>
    <row r="350" spans="1:19" ht="12.75" customHeight="1">
      <c r="A350" s="144" t="s">
        <v>700</v>
      </c>
      <c r="B350" s="532">
        <f>B342/B344</f>
        <v>0.31756441697633642</v>
      </c>
      <c r="C350" s="532">
        <f>C342/C344</f>
        <v>0.31998853517676201</v>
      </c>
      <c r="D350" s="532">
        <f>D342/D344</f>
        <v>0.33506415230232872</v>
      </c>
      <c r="E350" s="62"/>
      <c r="F350" s="537"/>
      <c r="G350" s="537"/>
      <c r="H350" s="142"/>
      <c r="I350" s="48"/>
      <c r="J350" s="48"/>
      <c r="K350" s="48"/>
      <c r="L350" s="48"/>
      <c r="M350" s="48"/>
      <c r="N350" s="48"/>
      <c r="O350" s="48"/>
      <c r="P350" s="48"/>
      <c r="Q350" s="48"/>
      <c r="R350" s="48"/>
      <c r="S350" s="48"/>
    </row>
    <row r="351" spans="1:19" ht="12.75" customHeight="1">
      <c r="A351" s="144"/>
      <c r="B351" s="532"/>
      <c r="C351" s="532"/>
      <c r="D351" s="532"/>
      <c r="E351" s="62"/>
      <c r="F351" s="537"/>
      <c r="G351" s="537"/>
      <c r="H351" s="142"/>
      <c r="I351" s="48"/>
      <c r="J351" s="48"/>
      <c r="K351" s="48"/>
      <c r="L351" s="48"/>
      <c r="M351" s="48"/>
      <c r="N351" s="48"/>
      <c r="O351" s="48"/>
      <c r="P351" s="48"/>
      <c r="Q351" s="48"/>
      <c r="R351" s="48"/>
      <c r="S351" s="48"/>
    </row>
    <row r="352" spans="1:19" ht="12.75" customHeight="1">
      <c r="A352" s="144" t="s">
        <v>701</v>
      </c>
      <c r="B352" s="532">
        <f>B343/B345</f>
        <v>-6.2005610915041756E-4</v>
      </c>
      <c r="C352" s="532">
        <f>C343/C345</f>
        <v>2.4793008621731692E-2</v>
      </c>
      <c r="D352" s="532">
        <f>D343/D345</f>
        <v>2.3522521480034916E-2</v>
      </c>
      <c r="E352" s="62"/>
      <c r="F352" s="62"/>
      <c r="G352" s="62"/>
      <c r="H352" s="142"/>
      <c r="I352" s="48"/>
      <c r="J352" s="48"/>
      <c r="K352" s="48"/>
      <c r="L352" s="48"/>
      <c r="M352" s="48"/>
      <c r="N352" s="48"/>
      <c r="O352" s="48"/>
      <c r="P352" s="48"/>
      <c r="Q352" s="48"/>
      <c r="R352" s="48"/>
      <c r="S352" s="48"/>
    </row>
    <row r="353" spans="1:21" ht="12.75" customHeight="1">
      <c r="A353" s="144" t="s">
        <v>702</v>
      </c>
      <c r="B353" s="532">
        <f>B350-B352</f>
        <v>0.31818447308548681</v>
      </c>
      <c r="C353" s="532">
        <f>C350-C352</f>
        <v>0.29519552655503034</v>
      </c>
      <c r="D353" s="532">
        <f>D350-D352</f>
        <v>0.3115416308222938</v>
      </c>
      <c r="E353" s="62"/>
      <c r="F353" s="62"/>
      <c r="G353" s="62"/>
      <c r="H353" s="142"/>
      <c r="I353" s="48"/>
      <c r="J353" s="48"/>
      <c r="K353" s="48"/>
      <c r="L353" s="48"/>
      <c r="M353" s="48"/>
      <c r="N353" s="48"/>
      <c r="O353" s="48"/>
      <c r="P353" s="48"/>
      <c r="Q353" s="48"/>
      <c r="R353" s="48"/>
      <c r="S353" s="48"/>
    </row>
    <row r="354" spans="1:21" ht="12.75" customHeight="1">
      <c r="A354" s="144" t="s">
        <v>703</v>
      </c>
      <c r="B354" s="532">
        <f>B345/B346</f>
        <v>0.19361364868810743</v>
      </c>
      <c r="C354" s="532">
        <f>C345/C346</f>
        <v>0.34366604458481159</v>
      </c>
      <c r="D354" s="532">
        <f>D345/D346</f>
        <v>0.39669071235347153</v>
      </c>
      <c r="E354" s="62"/>
      <c r="F354" s="62"/>
      <c r="G354" s="62"/>
      <c r="H354" s="142"/>
      <c r="I354" s="48"/>
      <c r="J354" s="48"/>
      <c r="K354" s="48"/>
      <c r="L354" s="48"/>
      <c r="M354" s="48"/>
      <c r="N354" s="48"/>
      <c r="O354" s="48"/>
      <c r="P354" s="48"/>
      <c r="Q354" s="48"/>
      <c r="R354" s="48"/>
      <c r="S354" s="48"/>
    </row>
    <row r="355" spans="1:21" ht="12.75" customHeight="1">
      <c r="A355" s="144" t="s">
        <v>704</v>
      </c>
      <c r="B355" s="532">
        <f>B353*B354</f>
        <v>6.1604856789984015E-2</v>
      </c>
      <c r="C355" s="532">
        <f>C353*C354</f>
        <v>0.101448678990298</v>
      </c>
      <c r="D355" s="532">
        <f>D353*D354</f>
        <v>0.12358567145865797</v>
      </c>
      <c r="E355" s="62"/>
      <c r="F355" s="62"/>
      <c r="G355" s="62"/>
      <c r="H355" s="142"/>
      <c r="I355" s="48"/>
      <c r="J355" s="48"/>
      <c r="K355" s="48"/>
      <c r="L355" s="48"/>
      <c r="M355" s="48"/>
      <c r="N355" s="48"/>
      <c r="O355" s="48"/>
      <c r="P355" s="48"/>
      <c r="Q355" s="48"/>
      <c r="R355" s="48"/>
      <c r="S355" s="48"/>
    </row>
    <row r="356" spans="1:21" ht="12.75" customHeight="1">
      <c r="A356" s="144"/>
      <c r="B356" s="532"/>
      <c r="C356" s="532"/>
      <c r="D356" s="532"/>
      <c r="E356" s="62"/>
      <c r="F356" s="62"/>
      <c r="G356" s="62"/>
      <c r="H356" s="142"/>
      <c r="I356" s="48"/>
      <c r="J356" s="48"/>
      <c r="K356" s="48"/>
      <c r="L356" s="48"/>
      <c r="M356" s="48"/>
      <c r="N356" s="48"/>
      <c r="O356" s="48"/>
      <c r="P356" s="48"/>
      <c r="Q356" s="48"/>
      <c r="R356" s="48"/>
      <c r="S356" s="48"/>
    </row>
    <row r="357" spans="1:21" ht="12.75" customHeight="1">
      <c r="A357" s="144" t="s">
        <v>707</v>
      </c>
      <c r="B357" s="532">
        <f>B350+B355</f>
        <v>0.37916927376632042</v>
      </c>
      <c r="C357" s="532">
        <f>C350+C355</f>
        <v>0.42143721416706004</v>
      </c>
      <c r="D357" s="532">
        <f>D350+D355</f>
        <v>0.45864982376098667</v>
      </c>
      <c r="E357" s="62"/>
      <c r="F357" s="62"/>
      <c r="G357" s="62"/>
      <c r="H357" s="142"/>
      <c r="I357" s="48"/>
      <c r="J357" s="48"/>
      <c r="K357" s="48"/>
      <c r="L357" s="48"/>
      <c r="M357" s="48"/>
      <c r="N357" s="48"/>
      <c r="O357" s="48"/>
      <c r="P357" s="48"/>
      <c r="Q357" s="48"/>
      <c r="R357" s="48"/>
      <c r="S357" s="48"/>
    </row>
    <row r="358" spans="1:21" ht="12.75" customHeight="1">
      <c r="A358" s="162"/>
      <c r="B358" s="140"/>
      <c r="C358" s="140"/>
      <c r="D358" s="140"/>
      <c r="E358" s="165"/>
      <c r="F358" s="165"/>
      <c r="G358" s="165"/>
      <c r="H358" s="166"/>
      <c r="I358" s="48"/>
      <c r="J358" s="48"/>
      <c r="K358" s="48"/>
      <c r="L358" s="48"/>
      <c r="M358" s="48"/>
      <c r="N358" s="48"/>
      <c r="O358" s="48"/>
      <c r="P358" s="48"/>
      <c r="Q358" s="48"/>
      <c r="R358" s="48"/>
      <c r="S358" s="48"/>
    </row>
    <row r="359" spans="1:21" ht="12.75" customHeight="1" thickBot="1">
      <c r="A359" s="167"/>
      <c r="B359" s="71"/>
      <c r="C359" s="71"/>
      <c r="D359" s="71"/>
      <c r="E359" s="71"/>
      <c r="F359" s="71"/>
      <c r="G359" s="71"/>
      <c r="H359" s="168"/>
      <c r="I359" s="48"/>
      <c r="J359" s="48"/>
      <c r="K359" s="48"/>
      <c r="L359" s="48"/>
      <c r="M359" s="48"/>
      <c r="N359" s="48"/>
      <c r="O359" s="48"/>
      <c r="P359" s="48"/>
      <c r="Q359" s="48"/>
      <c r="R359" s="48"/>
      <c r="S359" s="48"/>
    </row>
    <row r="360" spans="1:21" ht="12.75" customHeight="1">
      <c r="A360" s="48"/>
      <c r="B360" s="48"/>
      <c r="C360" s="48"/>
      <c r="D360" s="48"/>
      <c r="E360" s="48"/>
      <c r="F360" s="48"/>
      <c r="G360" s="48"/>
      <c r="H360" s="48"/>
      <c r="I360" s="48"/>
      <c r="J360" s="48"/>
      <c r="K360" s="48"/>
      <c r="L360" s="48"/>
      <c r="M360" s="48"/>
      <c r="N360" s="48"/>
      <c r="O360" s="48"/>
      <c r="P360" s="48"/>
      <c r="Q360" s="48"/>
      <c r="R360" s="48"/>
      <c r="S360" s="48"/>
    </row>
    <row r="361" spans="1:21" ht="12.75" customHeight="1">
      <c r="A361" s="48"/>
      <c r="B361" s="48"/>
      <c r="C361" s="48"/>
      <c r="D361" s="48"/>
      <c r="E361" s="48"/>
      <c r="F361" s="48"/>
      <c r="G361" s="48"/>
      <c r="H361" s="48"/>
      <c r="I361" s="48"/>
      <c r="J361" s="48"/>
      <c r="K361" s="48"/>
      <c r="L361" s="48"/>
      <c r="M361" s="48"/>
      <c r="N361" s="48"/>
      <c r="O361" s="48"/>
      <c r="P361" s="48"/>
      <c r="Q361" s="48"/>
      <c r="R361" s="48"/>
      <c r="S361" s="48"/>
    </row>
    <row r="362" spans="1:21" ht="12.75" customHeight="1" thickBot="1">
      <c r="A362" s="48"/>
      <c r="B362" s="48"/>
      <c r="C362" s="48"/>
      <c r="D362" s="48"/>
      <c r="E362" s="48"/>
      <c r="F362" s="48"/>
      <c r="G362" s="48"/>
      <c r="H362" s="48"/>
      <c r="I362" s="48"/>
      <c r="J362" s="48"/>
      <c r="K362" s="48"/>
      <c r="L362" s="48"/>
      <c r="M362" s="48"/>
      <c r="N362" s="48"/>
      <c r="O362" s="48"/>
      <c r="P362" s="48"/>
      <c r="Q362" s="48"/>
      <c r="R362" s="48"/>
      <c r="S362" s="48"/>
      <c r="T362" s="48"/>
      <c r="U362" s="48"/>
    </row>
    <row r="363" spans="1:21" ht="12.75" customHeight="1" thickBot="1">
      <c r="A363" s="103" t="s">
        <v>362</v>
      </c>
      <c r="B363" s="132"/>
      <c r="C363" s="132"/>
      <c r="D363" s="132"/>
      <c r="E363" s="132"/>
      <c r="F363" s="133"/>
      <c r="G363" s="169"/>
      <c r="H363" s="48"/>
      <c r="I363" s="48"/>
      <c r="J363" s="109" t="s">
        <v>503</v>
      </c>
      <c r="K363" s="48"/>
      <c r="L363" s="48"/>
      <c r="M363" s="48"/>
      <c r="N363" s="48"/>
      <c r="O363" s="48"/>
      <c r="P363" s="48"/>
      <c r="Q363" s="48"/>
      <c r="R363" s="48"/>
      <c r="S363" s="48"/>
      <c r="T363" s="48"/>
      <c r="U363" s="48"/>
    </row>
    <row r="364" spans="1:21" ht="12.75" customHeight="1" thickBot="1">
      <c r="A364" s="76" t="s">
        <v>18</v>
      </c>
      <c r="B364" s="77">
        <f>Data!$C$11</f>
        <v>2011</v>
      </c>
      <c r="C364" s="77">
        <f>Data!$D$11</f>
        <v>2012</v>
      </c>
      <c r="D364" s="77">
        <f>Data!$E$11</f>
        <v>2013</v>
      </c>
      <c r="E364" s="77">
        <f>Data!$F$11</f>
        <v>2014</v>
      </c>
      <c r="F364" s="77">
        <f>Data!$G$11</f>
        <v>2015</v>
      </c>
      <c r="G364" s="170"/>
      <c r="H364" s="48"/>
      <c r="I364" s="48"/>
      <c r="J364" s="48" t="s">
        <v>504</v>
      </c>
      <c r="K364" s="48"/>
      <c r="L364" s="48"/>
      <c r="M364" s="48"/>
      <c r="N364" s="48"/>
      <c r="O364" s="48"/>
      <c r="P364" s="48"/>
      <c r="Q364" s="48"/>
      <c r="R364" s="48"/>
      <c r="S364" s="48"/>
      <c r="T364" s="48"/>
      <c r="U364" s="48"/>
    </row>
    <row r="365" spans="1:21" ht="12.75" customHeight="1">
      <c r="A365" s="70"/>
      <c r="B365" s="134"/>
      <c r="C365" s="135"/>
      <c r="D365" s="134"/>
      <c r="E365" s="135"/>
      <c r="F365" s="136"/>
      <c r="G365" s="171"/>
      <c r="H365" s="48"/>
      <c r="I365" s="48"/>
      <c r="J365" s="48" t="s">
        <v>505</v>
      </c>
      <c r="K365" s="48"/>
      <c r="L365" s="48"/>
      <c r="M365" s="48"/>
      <c r="N365" s="48"/>
      <c r="O365" s="48"/>
      <c r="P365" s="48"/>
      <c r="Q365" s="48"/>
      <c r="R365" s="48"/>
      <c r="S365" s="48"/>
      <c r="T365" s="48"/>
      <c r="U365" s="48"/>
    </row>
    <row r="366" spans="1:21" ht="12.75" customHeight="1">
      <c r="A366" s="138" t="s">
        <v>363</v>
      </c>
      <c r="B366" s="118"/>
      <c r="C366" s="137"/>
      <c r="D366" s="137"/>
      <c r="E366" s="135"/>
      <c r="F366" s="136"/>
      <c r="G366" s="171"/>
      <c r="H366" s="48"/>
      <c r="I366" s="48"/>
      <c r="J366" s="48"/>
      <c r="K366" s="48"/>
      <c r="L366" s="48"/>
      <c r="M366" s="48"/>
      <c r="N366" s="48"/>
      <c r="O366" s="48"/>
      <c r="P366" s="48"/>
      <c r="Q366" s="48"/>
      <c r="R366" s="48"/>
      <c r="S366" s="48"/>
      <c r="T366" s="48"/>
      <c r="U366" s="48"/>
    </row>
    <row r="367" spans="1:21" ht="12.75" customHeight="1">
      <c r="A367" s="27" t="str">
        <f>Data!A97</f>
        <v>Net Income</v>
      </c>
      <c r="B367" s="27">
        <f>Data!C97</f>
        <v>1248</v>
      </c>
      <c r="C367" s="27">
        <f>Data!D97</f>
        <v>1384.6999999999998</v>
      </c>
      <c r="D367" s="27">
        <f>Data!E97</f>
        <v>8.7999999999994429</v>
      </c>
      <c r="E367" s="27">
        <f>Data!F97</f>
        <v>2067.7000000000003</v>
      </c>
      <c r="F367" s="27">
        <f>Data!G97</f>
        <v>2759.3000000000011</v>
      </c>
      <c r="G367" s="150"/>
      <c r="H367" s="48"/>
      <c r="I367" s="48"/>
      <c r="J367" s="48"/>
      <c r="K367" s="48"/>
      <c r="L367" s="48"/>
      <c r="M367" s="48"/>
      <c r="N367" s="48"/>
      <c r="O367" s="48"/>
      <c r="P367" s="48"/>
      <c r="Q367" s="48"/>
      <c r="R367" s="48"/>
      <c r="S367" s="48"/>
      <c r="T367" s="48"/>
      <c r="U367" s="48"/>
    </row>
    <row r="368" spans="1:21" ht="12.75" customHeight="1">
      <c r="A368" s="4" t="str">
        <f>Data!A98</f>
        <v>Add back depreciation and amortization expenses</v>
      </c>
      <c r="B368" s="4">
        <f>Data!C98</f>
        <v>550</v>
      </c>
      <c r="C368" s="4">
        <f>Data!D98</f>
        <v>580.6</v>
      </c>
      <c r="D368" s="4">
        <f>Data!E98</f>
        <v>655.6</v>
      </c>
      <c r="E368" s="4">
        <f>Data!F98</f>
        <v>748.4</v>
      </c>
      <c r="F368" s="4">
        <f>Data!G98</f>
        <v>933.8</v>
      </c>
      <c r="G368" s="150"/>
      <c r="H368" s="48"/>
      <c r="I368" s="48"/>
      <c r="J368" s="48"/>
      <c r="K368" s="48"/>
      <c r="L368" s="48"/>
      <c r="M368" s="48"/>
      <c r="N368" s="48"/>
      <c r="O368" s="48"/>
      <c r="P368" s="48"/>
      <c r="Q368" s="48"/>
      <c r="R368" s="48"/>
      <c r="S368" s="48"/>
      <c r="T368" s="48"/>
      <c r="U368" s="48"/>
    </row>
    <row r="369" spans="1:21" ht="12.75" customHeight="1">
      <c r="A369" s="498" t="s">
        <v>627</v>
      </c>
      <c r="B369" s="172">
        <f>SUM(Data!C102:C110)</f>
        <v>-329.5</v>
      </c>
      <c r="C369" s="172">
        <f>SUM(Data!D102:D110)</f>
        <v>-384.3</v>
      </c>
      <c r="D369" s="172">
        <f>SUM(Data!E102:E110)</f>
        <v>658.49999999999989</v>
      </c>
      <c r="E369" s="172">
        <f>SUM(Data!F102:F110)</f>
        <v>549.5</v>
      </c>
      <c r="F369" s="172">
        <f>SUM(Data!G102:G110)</f>
        <v>229.3</v>
      </c>
      <c r="G369" s="150"/>
      <c r="H369" s="48"/>
      <c r="I369" s="48"/>
      <c r="J369" s="48"/>
      <c r="K369" s="48"/>
      <c r="L369" s="48"/>
      <c r="M369" s="48"/>
      <c r="N369" s="48"/>
      <c r="O369" s="48"/>
      <c r="P369" s="48"/>
      <c r="Q369" s="48"/>
      <c r="R369" s="48"/>
      <c r="S369" s="48"/>
      <c r="T369" s="48"/>
      <c r="U369" s="48"/>
    </row>
    <row r="370" spans="1:21" ht="12.75" customHeight="1">
      <c r="A370" s="498" t="s">
        <v>628</v>
      </c>
      <c r="B370" s="172">
        <f>SUM(Data!C99:C101)+SUM(Data!C111:C112)</f>
        <v>143.89999999999998</v>
      </c>
      <c r="C370" s="172">
        <f>SUM(Data!D99:D101)+SUM(Data!D111:D112)</f>
        <v>169.29999999999998</v>
      </c>
      <c r="D370" s="172">
        <f>SUM(Data!E99:E101)+SUM(Data!E111:E112)</f>
        <v>1585.4</v>
      </c>
      <c r="E370" s="172">
        <f>SUM(Data!F99:F101)+SUM(Data!F111:F112)</f>
        <v>-2757.8</v>
      </c>
      <c r="F370" s="172">
        <f>SUM(Data!G99:G101)+SUM(Data!G111:G112)</f>
        <v>-173.29999999999995</v>
      </c>
      <c r="G370" s="150"/>
      <c r="H370" s="48"/>
      <c r="I370" s="48"/>
      <c r="J370" s="48"/>
      <c r="K370" s="48"/>
      <c r="L370" s="48"/>
      <c r="M370" s="48"/>
      <c r="N370" s="48"/>
      <c r="O370" s="48"/>
      <c r="P370" s="48"/>
      <c r="Q370" s="48"/>
      <c r="R370" s="48"/>
      <c r="S370" s="48"/>
      <c r="T370" s="48"/>
      <c r="U370" s="48"/>
    </row>
    <row r="371" spans="1:21" ht="12.75" customHeight="1">
      <c r="A371" s="27" t="str">
        <f>Data!A113</f>
        <v xml:space="preserve">  Net CF from Operating Activities</v>
      </c>
      <c r="B371" s="27">
        <f>SUM(B367:B370)</f>
        <v>1612.4</v>
      </c>
      <c r="C371" s="27">
        <f>SUM(C367:C370)</f>
        <v>1750.2999999999997</v>
      </c>
      <c r="D371" s="27">
        <f>SUM(D367:D370)</f>
        <v>2908.2999999999993</v>
      </c>
      <c r="E371" s="27">
        <f>SUM(E367:E370)</f>
        <v>607.80000000000018</v>
      </c>
      <c r="F371" s="27">
        <f>SUM(F367:F370)</f>
        <v>3749.1000000000013</v>
      </c>
      <c r="G371" s="150"/>
      <c r="H371" s="48"/>
      <c r="I371" s="48"/>
      <c r="J371" s="48"/>
      <c r="K371" s="48"/>
      <c r="L371" s="48"/>
      <c r="M371" s="48"/>
      <c r="N371" s="48"/>
      <c r="O371" s="48"/>
      <c r="P371" s="48"/>
      <c r="Q371" s="48"/>
      <c r="R371" s="48"/>
      <c r="S371" s="48"/>
      <c r="T371" s="48"/>
      <c r="U371" s="48"/>
    </row>
    <row r="372" spans="1:21" ht="12.75" customHeight="1">
      <c r="A372" s="4"/>
      <c r="B372" s="4"/>
      <c r="C372" s="4"/>
      <c r="D372" s="4"/>
      <c r="E372" s="4"/>
      <c r="F372" s="4"/>
      <c r="G372" s="150"/>
      <c r="H372" s="48"/>
      <c r="I372" s="48"/>
      <c r="J372" s="48"/>
      <c r="K372" s="48"/>
      <c r="L372" s="48"/>
      <c r="M372" s="48"/>
      <c r="N372" s="48"/>
      <c r="O372" s="48"/>
      <c r="P372" s="48"/>
      <c r="Q372" s="48"/>
      <c r="R372" s="48"/>
      <c r="S372" s="48"/>
      <c r="T372" s="48"/>
      <c r="U372" s="48"/>
    </row>
    <row r="373" spans="1:21" ht="12.75" customHeight="1">
      <c r="A373" s="27" t="s">
        <v>364</v>
      </c>
      <c r="B373" s="4"/>
      <c r="C373" s="4"/>
      <c r="D373" s="4"/>
      <c r="E373" s="4"/>
      <c r="F373" s="4"/>
      <c r="G373" s="150"/>
      <c r="H373" s="48"/>
      <c r="I373" s="48"/>
      <c r="J373" s="48"/>
      <c r="K373" s="48"/>
      <c r="L373" s="48"/>
      <c r="M373" s="48"/>
      <c r="N373" s="48"/>
      <c r="O373" s="48"/>
      <c r="P373" s="48"/>
      <c r="Q373" s="48"/>
      <c r="R373" s="48"/>
      <c r="S373" s="48"/>
      <c r="T373" s="48"/>
      <c r="U373" s="48"/>
    </row>
    <row r="374" spans="1:21" ht="12.75" customHeight="1">
      <c r="A374" s="498" t="s">
        <v>629</v>
      </c>
      <c r="B374" s="172">
        <f>Data!C114+Data!C115</f>
        <v>-414.5</v>
      </c>
      <c r="C374" s="172">
        <f>Data!D114+Data!D115</f>
        <v>-850.90000000000009</v>
      </c>
      <c r="D374" s="172">
        <f>Data!E114+Data!E115</f>
        <v>-1151.2</v>
      </c>
      <c r="E374" s="172">
        <f>Data!F114+Data!F115</f>
        <v>-1160.9000000000001</v>
      </c>
      <c r="F374" s="172">
        <f>Data!G114+Data!G115</f>
        <v>-1303.7</v>
      </c>
      <c r="G374" s="150"/>
      <c r="H374" s="48"/>
      <c r="I374" s="48"/>
      <c r="J374" s="48"/>
      <c r="K374" s="48"/>
      <c r="L374" s="48"/>
      <c r="M374" s="48"/>
      <c r="N374" s="48"/>
      <c r="O374" s="48"/>
      <c r="P374" s="48"/>
      <c r="Q374" s="48"/>
      <c r="R374" s="48"/>
      <c r="S374" s="48"/>
      <c r="T374" s="48"/>
      <c r="U374" s="48"/>
    </row>
    <row r="375" spans="1:21" ht="12.75" customHeight="1">
      <c r="A375" s="81" t="s">
        <v>365</v>
      </c>
      <c r="B375" s="172">
        <f>SUM(Data!C116:C118)</f>
        <v>-591.79999999999995</v>
      </c>
      <c r="C375" s="172">
        <f>SUM(Data!D116:D118)</f>
        <v>-81.299999999999812</v>
      </c>
      <c r="D375" s="172">
        <f>SUM(Data!E116:E118)</f>
        <v>-356.09999999999991</v>
      </c>
      <c r="E375" s="172">
        <f>SUM(Data!F116:F118)</f>
        <v>258.39999999999998</v>
      </c>
      <c r="F375" s="172">
        <f>SUM(Data!G116:G118)</f>
        <v>-232.29999999999995</v>
      </c>
      <c r="G375" s="150"/>
      <c r="H375" s="48"/>
      <c r="I375" s="48"/>
      <c r="J375" s="48"/>
      <c r="K375" s="48"/>
      <c r="L375" s="48"/>
      <c r="M375" s="48"/>
      <c r="N375" s="48"/>
      <c r="O375" s="48"/>
      <c r="P375" s="48"/>
      <c r="Q375" s="48"/>
      <c r="R375" s="48"/>
      <c r="S375" s="48"/>
      <c r="T375" s="48"/>
      <c r="U375" s="48"/>
    </row>
    <row r="376" spans="1:21" ht="12.75" customHeight="1">
      <c r="A376" s="498" t="s">
        <v>630</v>
      </c>
      <c r="B376" s="172">
        <f>Data!C119+Data!C120</f>
        <v>-13.2</v>
      </c>
      <c r="C376" s="172">
        <f>Data!D119+Data!D120</f>
        <v>-41.8</v>
      </c>
      <c r="D376" s="172">
        <f>Data!E119+Data!E120</f>
        <v>96.1</v>
      </c>
      <c r="E376" s="172">
        <f>Data!F119+Data!F120</f>
        <v>84.800000000000011</v>
      </c>
      <c r="F376" s="172">
        <f>Data!G119+Data!G120</f>
        <v>15.7</v>
      </c>
      <c r="G376" s="150"/>
      <c r="H376" s="48"/>
      <c r="I376" s="48"/>
      <c r="J376" s="48"/>
      <c r="K376" s="48"/>
      <c r="L376" s="48"/>
      <c r="M376" s="48"/>
      <c r="N376" s="48"/>
      <c r="O376" s="48"/>
      <c r="P376" s="48"/>
      <c r="Q376" s="48"/>
      <c r="R376" s="48"/>
      <c r="S376" s="48"/>
      <c r="T376" s="48"/>
      <c r="U376" s="48"/>
    </row>
    <row r="377" spans="1:21" ht="12.75" customHeight="1">
      <c r="A377" s="27" t="str">
        <f>Data!A121</f>
        <v xml:space="preserve">  Net CF from Investing Activities</v>
      </c>
      <c r="B377" s="173">
        <f>SUM(B374:B376)</f>
        <v>-1019.5</v>
      </c>
      <c r="C377" s="173">
        <f>SUM(C374:C376)</f>
        <v>-973.99999999999989</v>
      </c>
      <c r="D377" s="173">
        <f>SUM(D374:D376)</f>
        <v>-1411.2</v>
      </c>
      <c r="E377" s="173">
        <f>SUM(E374:E376)</f>
        <v>-817.7</v>
      </c>
      <c r="F377" s="173">
        <f>SUM(F374:F376)</f>
        <v>-1520.3</v>
      </c>
      <c r="G377" s="174"/>
      <c r="H377" s="48"/>
      <c r="I377" s="48"/>
      <c r="J377" s="48"/>
      <c r="K377" s="48"/>
      <c r="L377" s="48"/>
      <c r="M377" s="48"/>
      <c r="N377" s="48"/>
      <c r="O377" s="48"/>
      <c r="P377" s="48"/>
      <c r="Q377" s="48"/>
      <c r="R377" s="48"/>
      <c r="S377" s="48"/>
      <c r="T377" s="48"/>
      <c r="U377" s="48"/>
    </row>
    <row r="378" spans="1:21" ht="12.75" customHeight="1">
      <c r="A378" s="81"/>
      <c r="B378" s="172"/>
      <c r="C378" s="172"/>
      <c r="D378" s="172"/>
      <c r="E378" s="172"/>
      <c r="F378" s="172"/>
      <c r="G378" s="150"/>
      <c r="H378" s="48"/>
      <c r="I378" s="48"/>
      <c r="J378" s="48"/>
      <c r="K378" s="48"/>
      <c r="L378" s="48"/>
      <c r="M378" s="48"/>
      <c r="N378" s="48"/>
      <c r="O378" s="48"/>
      <c r="P378" s="48"/>
      <c r="Q378" s="48"/>
      <c r="R378" s="48"/>
      <c r="S378" s="48"/>
      <c r="T378" s="48"/>
      <c r="U378" s="48"/>
    </row>
    <row r="379" spans="1:21" ht="12.75" customHeight="1">
      <c r="A379" s="102" t="s">
        <v>366</v>
      </c>
      <c r="B379" s="172"/>
      <c r="C379" s="172"/>
      <c r="D379" s="172"/>
      <c r="E379" s="172"/>
      <c r="F379" s="172"/>
      <c r="G379" s="48"/>
      <c r="H379" s="48"/>
      <c r="I379" s="48"/>
      <c r="J379" s="48"/>
      <c r="K379" s="48"/>
      <c r="L379" s="48"/>
      <c r="M379" s="48"/>
      <c r="N379" s="48"/>
      <c r="O379" s="48"/>
      <c r="P379" s="48"/>
      <c r="Q379" s="48"/>
      <c r="R379" s="48"/>
      <c r="S379" s="48"/>
      <c r="T379" s="48"/>
      <c r="U379" s="48"/>
    </row>
    <row r="380" spans="1:21" ht="12.75" customHeight="1">
      <c r="A380" s="498" t="s">
        <v>631</v>
      </c>
      <c r="B380" s="172">
        <f>Data!C122+Data!C123</f>
        <v>30.8</v>
      </c>
      <c r="C380" s="172">
        <f>Data!D122+Data!D123</f>
        <v>-30.8</v>
      </c>
      <c r="D380" s="172">
        <f>Data!E122+Data!E123</f>
        <v>0</v>
      </c>
      <c r="E380" s="172">
        <f>Data!F122+Data!F123</f>
        <v>0</v>
      </c>
      <c r="F380" s="172">
        <f>Data!G122+Data!G123</f>
        <v>0</v>
      </c>
      <c r="G380" s="48"/>
      <c r="H380" s="48"/>
      <c r="I380" s="48"/>
      <c r="J380" s="48"/>
      <c r="K380" s="48"/>
      <c r="L380" s="48"/>
      <c r="M380" s="48"/>
      <c r="N380" s="48"/>
      <c r="O380" s="48"/>
      <c r="P380" s="48"/>
      <c r="Q380" s="48"/>
      <c r="R380" s="48"/>
      <c r="S380" s="48"/>
      <c r="T380" s="48"/>
      <c r="U380" s="48"/>
    </row>
    <row r="381" spans="1:21" ht="12.75" customHeight="1">
      <c r="A381" s="498" t="s">
        <v>632</v>
      </c>
      <c r="B381" s="172">
        <f>Data!C124+Data!C125</f>
        <v>0</v>
      </c>
      <c r="C381" s="172">
        <f>Data!D124+Data!D125</f>
        <v>0</v>
      </c>
      <c r="D381" s="172">
        <f>Data!E124+Data!E125</f>
        <v>714.5</v>
      </c>
      <c r="E381" s="172">
        <f>Data!F124+Data!F125</f>
        <v>748.5</v>
      </c>
      <c r="F381" s="172">
        <f>Data!G124+Data!G125</f>
        <v>238.39999999999998</v>
      </c>
      <c r="G381" s="48"/>
      <c r="H381" s="48"/>
      <c r="I381" s="48"/>
      <c r="J381" s="48"/>
      <c r="K381" s="48"/>
      <c r="L381" s="48"/>
      <c r="M381" s="48"/>
      <c r="N381" s="48"/>
      <c r="O381" s="48"/>
      <c r="P381" s="48"/>
      <c r="Q381" s="48"/>
      <c r="R381" s="48"/>
      <c r="S381" s="48"/>
      <c r="T381" s="48"/>
      <c r="U381" s="48"/>
    </row>
    <row r="382" spans="1:21" ht="12.75" customHeight="1">
      <c r="A382" s="498" t="s">
        <v>633</v>
      </c>
      <c r="B382" s="172">
        <f>Data!C126+Data!C127+Data!C128</f>
        <v>-216.59999999999997</v>
      </c>
      <c r="C382" s="172">
        <f>Data!D126+Data!D127+Data!D128</f>
        <v>-201.20000000000005</v>
      </c>
      <c r="D382" s="172">
        <f>Data!E126+Data!E127+Data!E128</f>
        <v>-204.20000000000005</v>
      </c>
      <c r="E382" s="172">
        <f>Data!F126+Data!F127+Data!F128</f>
        <v>-581.79999999999995</v>
      </c>
      <c r="F382" s="172">
        <f>Data!G126+Data!G127+Data!G128</f>
        <v>-1187.3999999999999</v>
      </c>
      <c r="G382" s="48"/>
      <c r="H382" s="48"/>
      <c r="I382" s="48"/>
      <c r="J382" s="48"/>
      <c r="K382" s="48"/>
      <c r="L382" s="48"/>
      <c r="M382" s="48"/>
      <c r="N382" s="48"/>
      <c r="O382" s="48"/>
      <c r="P382" s="48"/>
      <c r="Q382" s="48"/>
      <c r="R382" s="48"/>
      <c r="S382" s="48"/>
      <c r="T382" s="48"/>
      <c r="U382" s="48"/>
    </row>
    <row r="383" spans="1:21" ht="12.75" customHeight="1">
      <c r="A383" s="81" t="s">
        <v>490</v>
      </c>
      <c r="B383" s="172">
        <f>Data!C129</f>
        <v>-389.5</v>
      </c>
      <c r="C383" s="172">
        <f>Data!D129</f>
        <v>-513</v>
      </c>
      <c r="D383" s="172">
        <f>Data!E129</f>
        <v>-628.9</v>
      </c>
      <c r="E383" s="172">
        <f>Data!F129</f>
        <v>-783.1</v>
      </c>
      <c r="F383" s="172">
        <f>Data!G129</f>
        <v>-928.6</v>
      </c>
      <c r="G383" s="48"/>
      <c r="H383" s="48"/>
      <c r="I383" s="48"/>
      <c r="J383" s="48"/>
      <c r="K383" s="48"/>
      <c r="L383" s="48"/>
      <c r="M383" s="48"/>
      <c r="N383" s="48"/>
      <c r="O383" s="48"/>
      <c r="P383" s="48"/>
      <c r="Q383" s="48"/>
      <c r="R383" s="48"/>
      <c r="S383" s="48"/>
      <c r="T383" s="48"/>
      <c r="U383" s="48"/>
    </row>
    <row r="384" spans="1:21" ht="12.75" customHeight="1">
      <c r="A384" s="498" t="s">
        <v>634</v>
      </c>
      <c r="B384" s="172">
        <f>Data!C130+Data!C131</f>
        <v>-32.700000000000003</v>
      </c>
      <c r="C384" s="172">
        <f>Data!D130+Data!D131</f>
        <v>-0.5</v>
      </c>
      <c r="D384" s="172">
        <f>Data!E130+Data!E131</f>
        <v>10.4</v>
      </c>
      <c r="E384" s="172">
        <f>Data!F130+Data!F131</f>
        <v>-6.9</v>
      </c>
      <c r="F384" s="172">
        <f>Data!G130+Data!G131</f>
        <v>-378.90000000000003</v>
      </c>
      <c r="G384" s="48"/>
      <c r="H384" s="48"/>
      <c r="I384" s="48"/>
      <c r="J384" s="48"/>
      <c r="K384" s="48"/>
      <c r="L384" s="48"/>
      <c r="M384" s="48"/>
      <c r="N384" s="48"/>
      <c r="O384" s="48"/>
      <c r="P384" s="48"/>
      <c r="Q384" s="48"/>
      <c r="R384" s="48"/>
      <c r="S384" s="48"/>
      <c r="T384" s="48"/>
      <c r="U384" s="48"/>
    </row>
    <row r="385" spans="1:21" ht="12.75" customHeight="1">
      <c r="A385" s="27" t="str">
        <f>Data!A132</f>
        <v xml:space="preserve">  Net CF from Financing Activities</v>
      </c>
      <c r="B385" s="173">
        <f>SUM(B380:B384)</f>
        <v>-608</v>
      </c>
      <c r="C385" s="173">
        <f>SUM(C380:C384)</f>
        <v>-745.5</v>
      </c>
      <c r="D385" s="173">
        <f>SUM(D380:D384)</f>
        <v>-108.20000000000002</v>
      </c>
      <c r="E385" s="173">
        <f>SUM(E380:E384)</f>
        <v>-623.29999999999995</v>
      </c>
      <c r="F385" s="173">
        <f>SUM(F380:F384)</f>
        <v>-2256.5</v>
      </c>
      <c r="G385" s="48"/>
      <c r="H385" s="48"/>
      <c r="I385" s="48"/>
      <c r="J385" s="48"/>
      <c r="K385" s="48"/>
      <c r="L385" s="48"/>
      <c r="M385" s="48"/>
      <c r="N385" s="48"/>
      <c r="O385" s="48"/>
      <c r="P385" s="48"/>
      <c r="Q385" s="48"/>
      <c r="R385" s="48"/>
      <c r="S385" s="48"/>
      <c r="T385" s="48"/>
      <c r="U385" s="48"/>
    </row>
    <row r="386" spans="1:21" ht="12.75" customHeight="1">
      <c r="A386" s="81"/>
      <c r="B386" s="172"/>
      <c r="C386" s="172"/>
      <c r="D386" s="172"/>
      <c r="E386" s="172"/>
      <c r="F386" s="172"/>
      <c r="G386" s="48"/>
      <c r="H386" s="48"/>
      <c r="I386" s="48"/>
      <c r="J386" s="48"/>
      <c r="K386" s="48"/>
      <c r="L386" s="48"/>
      <c r="M386" s="48"/>
      <c r="N386" s="48"/>
      <c r="O386" s="48"/>
      <c r="P386" s="48"/>
      <c r="Q386" s="48"/>
      <c r="R386" s="48"/>
      <c r="S386" s="48"/>
      <c r="T386" s="48"/>
      <c r="U386" s="48"/>
    </row>
    <row r="387" spans="1:21">
      <c r="A387" s="4" t="str">
        <f>Data!A133</f>
        <v>Effects of exchange rate changes on cash</v>
      </c>
      <c r="B387" s="4">
        <f>Data!C133</f>
        <v>-0.8</v>
      </c>
      <c r="C387" s="4">
        <f>Data!D133</f>
        <v>9.6999999999999993</v>
      </c>
      <c r="D387" s="4">
        <f>Data!E133</f>
        <v>-1.8</v>
      </c>
      <c r="E387" s="4">
        <f>Data!F133</f>
        <v>-34.1</v>
      </c>
      <c r="F387" s="4">
        <f>Data!G133</f>
        <v>-150.6</v>
      </c>
      <c r="G387" s="48"/>
      <c r="H387" s="48"/>
      <c r="I387" s="48"/>
      <c r="J387" s="48"/>
      <c r="K387" s="48"/>
      <c r="L387" s="48"/>
      <c r="M387" s="48"/>
      <c r="N387" s="48"/>
      <c r="O387" s="48"/>
      <c r="P387" s="48"/>
      <c r="Q387" s="48"/>
      <c r="R387" s="48"/>
      <c r="S387" s="48"/>
      <c r="T387" s="48"/>
      <c r="U387" s="48"/>
    </row>
    <row r="388" spans="1:21">
      <c r="A388" s="27" t="str">
        <f>Data!A134</f>
        <v xml:space="preserve">  Net Change in Cash</v>
      </c>
      <c r="B388" s="27">
        <f>B371+B377+B385+B387</f>
        <v>-15.89999999999991</v>
      </c>
      <c r="C388" s="27">
        <f>C371+C377+C385+C387</f>
        <v>40.499999999999844</v>
      </c>
      <c r="D388" s="27">
        <f>D371+D377+D385+D387</f>
        <v>1387.0999999999992</v>
      </c>
      <c r="E388" s="27">
        <f>E371+E377+E385+E387</f>
        <v>-867.29999999999984</v>
      </c>
      <c r="F388" s="27">
        <f>F371+F377+F385+F387</f>
        <v>-178.2999999999989</v>
      </c>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80"/>
      <c r="J459" s="80"/>
      <c r="K459" s="80"/>
      <c r="L459" s="80"/>
      <c r="M459" s="80"/>
      <c r="N459" s="80"/>
      <c r="O459" s="80"/>
      <c r="P459" s="80"/>
      <c r="Q459" s="80"/>
      <c r="R459" s="80"/>
      <c r="S459" s="80"/>
      <c r="T459" s="80"/>
      <c r="U459" s="80"/>
    </row>
    <row r="460" spans="1:21">
      <c r="A460" s="48"/>
      <c r="B460" s="48"/>
      <c r="C460" s="48"/>
      <c r="D460" s="48"/>
      <c r="E460" s="48"/>
      <c r="F460" s="48"/>
      <c r="G460" s="48"/>
      <c r="H460" s="48"/>
      <c r="I460" s="80"/>
      <c r="J460" s="80"/>
      <c r="K460" s="80"/>
      <c r="L460" s="80"/>
      <c r="M460" s="80"/>
      <c r="N460" s="80"/>
      <c r="O460" s="80"/>
      <c r="P460" s="80"/>
      <c r="Q460" s="80"/>
      <c r="R460" s="80"/>
      <c r="S460" s="80"/>
      <c r="T460" s="80"/>
      <c r="U460" s="80"/>
    </row>
    <row r="461" spans="1:21">
      <c r="A461" s="48"/>
      <c r="B461" s="48"/>
      <c r="C461" s="48"/>
      <c r="D461" s="48"/>
      <c r="E461" s="48"/>
      <c r="F461" s="48"/>
      <c r="G461" s="48"/>
      <c r="H461" s="48"/>
      <c r="I461" s="80"/>
      <c r="J461" s="80"/>
      <c r="K461" s="80"/>
      <c r="L461" s="80"/>
      <c r="M461" s="80"/>
      <c r="N461" s="80"/>
      <c r="O461" s="80"/>
      <c r="P461" s="80"/>
      <c r="Q461" s="80"/>
      <c r="R461" s="80"/>
      <c r="S461" s="80"/>
      <c r="T461" s="80"/>
      <c r="U461" s="80"/>
    </row>
    <row r="462" spans="1:21">
      <c r="A462" s="48"/>
      <c r="B462" s="48"/>
      <c r="C462" s="48"/>
      <c r="D462" s="48"/>
      <c r="E462" s="48"/>
      <c r="F462" s="48"/>
      <c r="G462" s="48"/>
      <c r="H462" s="48"/>
      <c r="I462" s="80"/>
      <c r="J462" s="80"/>
      <c r="K462" s="80"/>
      <c r="L462" s="80"/>
      <c r="M462" s="80"/>
      <c r="N462" s="80"/>
      <c r="O462" s="80"/>
      <c r="P462" s="80"/>
      <c r="Q462" s="80"/>
      <c r="R462" s="80"/>
      <c r="S462" s="80"/>
      <c r="T462" s="80"/>
      <c r="U462" s="80"/>
    </row>
    <row r="463" spans="1:21">
      <c r="A463" s="48"/>
      <c r="B463" s="48"/>
      <c r="C463" s="48"/>
      <c r="D463" s="48"/>
      <c r="E463" s="48"/>
      <c r="F463" s="48"/>
      <c r="G463" s="48"/>
      <c r="H463" s="48"/>
      <c r="I463" s="80"/>
      <c r="J463" s="80"/>
      <c r="K463" s="80"/>
      <c r="L463" s="80"/>
      <c r="M463" s="80"/>
      <c r="N463" s="80"/>
      <c r="O463" s="80"/>
      <c r="P463" s="80"/>
      <c r="Q463" s="80"/>
      <c r="R463" s="80"/>
      <c r="S463" s="80"/>
      <c r="T463" s="80"/>
      <c r="U463" s="80"/>
    </row>
    <row r="464" spans="1:21">
      <c r="A464" s="48"/>
      <c r="B464" s="48"/>
      <c r="C464" s="48"/>
      <c r="D464" s="48"/>
      <c r="E464" s="48"/>
      <c r="F464" s="48"/>
      <c r="G464" s="48"/>
      <c r="H464" s="48"/>
      <c r="I464" s="80"/>
      <c r="J464" s="80"/>
      <c r="K464" s="80"/>
      <c r="L464" s="80"/>
      <c r="M464" s="80"/>
      <c r="N464" s="80"/>
      <c r="O464" s="80"/>
      <c r="P464" s="80"/>
      <c r="Q464" s="80"/>
      <c r="R464" s="80"/>
      <c r="S464" s="80"/>
      <c r="T464" s="80"/>
      <c r="U464" s="80"/>
    </row>
    <row r="465" spans="1:21">
      <c r="A465" s="48"/>
      <c r="B465" s="48"/>
      <c r="C465" s="48"/>
      <c r="D465" s="48"/>
      <c r="E465" s="48"/>
      <c r="F465" s="48"/>
      <c r="G465" s="48"/>
      <c r="H465" s="48"/>
      <c r="I465" s="80"/>
      <c r="J465" s="80"/>
      <c r="K465" s="80"/>
      <c r="L465" s="80"/>
      <c r="M465" s="80"/>
      <c r="N465" s="80"/>
      <c r="O465" s="80"/>
      <c r="P465" s="80"/>
      <c r="Q465" s="80"/>
      <c r="R465" s="80"/>
      <c r="S465" s="80"/>
      <c r="T465" s="80"/>
      <c r="U465" s="80"/>
    </row>
    <row r="466" spans="1:21">
      <c r="A466" s="48"/>
      <c r="B466" s="48"/>
      <c r="C466" s="48"/>
      <c r="D466" s="48"/>
      <c r="E466" s="48"/>
      <c r="F466" s="48"/>
      <c r="G466" s="48"/>
      <c r="H466" s="48"/>
      <c r="I466" s="80"/>
      <c r="J466" s="80"/>
      <c r="K466" s="80"/>
      <c r="L466" s="80"/>
      <c r="M466" s="80"/>
      <c r="N466" s="80"/>
      <c r="O466" s="80"/>
      <c r="P466" s="80"/>
      <c r="Q466" s="80"/>
      <c r="R466" s="80"/>
      <c r="S466" s="80"/>
      <c r="T466" s="80"/>
      <c r="U466" s="80"/>
    </row>
    <row r="467" spans="1:21">
      <c r="A467" s="48"/>
      <c r="B467" s="48"/>
      <c r="C467" s="48"/>
      <c r="D467" s="48"/>
      <c r="E467" s="48"/>
      <c r="F467" s="48"/>
      <c r="G467" s="48"/>
      <c r="H467" s="48"/>
      <c r="I467" s="80"/>
      <c r="J467" s="80"/>
      <c r="K467" s="80"/>
      <c r="L467" s="80"/>
      <c r="M467" s="80"/>
      <c r="N467" s="80"/>
      <c r="O467" s="80"/>
      <c r="P467" s="80"/>
      <c r="Q467" s="80"/>
      <c r="R467" s="80"/>
      <c r="S467" s="80"/>
      <c r="T467" s="80"/>
      <c r="U467" s="80"/>
    </row>
    <row r="468" spans="1:21">
      <c r="A468" s="48"/>
      <c r="B468" s="48"/>
      <c r="C468" s="48"/>
      <c r="D468" s="48"/>
      <c r="E468" s="48"/>
      <c r="F468" s="48"/>
      <c r="G468" s="48"/>
      <c r="H468" s="48"/>
      <c r="I468" s="80"/>
      <c r="J468" s="80"/>
      <c r="K468" s="80"/>
      <c r="L468" s="80"/>
      <c r="M468" s="80"/>
      <c r="N468" s="80"/>
      <c r="O468" s="80"/>
      <c r="P468" s="80"/>
      <c r="Q468" s="80"/>
      <c r="R468" s="80"/>
      <c r="S468" s="80"/>
      <c r="T468" s="80"/>
      <c r="U468" s="80"/>
    </row>
    <row r="469" spans="1:21">
      <c r="A469" s="48"/>
      <c r="B469" s="48"/>
      <c r="C469" s="48"/>
      <c r="D469" s="48"/>
      <c r="E469" s="48"/>
      <c r="F469" s="48"/>
      <c r="G469" s="48"/>
      <c r="H469" s="48"/>
      <c r="I469" s="80"/>
      <c r="J469" s="80"/>
      <c r="K469" s="80"/>
      <c r="L469" s="80"/>
      <c r="M469" s="80"/>
      <c r="N469" s="80"/>
      <c r="O469" s="80"/>
      <c r="P469" s="80"/>
      <c r="Q469" s="80"/>
      <c r="R469" s="80"/>
      <c r="S469" s="80"/>
      <c r="T469" s="80"/>
      <c r="U469" s="80"/>
    </row>
    <row r="470" spans="1:21">
      <c r="A470" s="48"/>
      <c r="B470" s="48"/>
      <c r="C470" s="48"/>
      <c r="D470" s="48"/>
      <c r="E470" s="48"/>
      <c r="F470" s="48"/>
      <c r="G470" s="48"/>
      <c r="H470" s="48"/>
      <c r="I470" s="80"/>
      <c r="J470" s="80"/>
      <c r="K470" s="80"/>
      <c r="L470" s="80"/>
      <c r="M470" s="80"/>
      <c r="N470" s="80"/>
      <c r="O470" s="80"/>
      <c r="P470" s="80"/>
      <c r="Q470" s="80"/>
      <c r="R470" s="80"/>
      <c r="S470" s="80"/>
      <c r="T470" s="80"/>
      <c r="U470" s="80"/>
    </row>
    <row r="471" spans="1:21">
      <c r="A471" s="48"/>
      <c r="B471" s="48"/>
      <c r="C471" s="48"/>
      <c r="D471" s="48"/>
      <c r="E471" s="48"/>
      <c r="F471" s="48"/>
      <c r="G471" s="48"/>
      <c r="H471" s="48"/>
      <c r="I471" s="80"/>
      <c r="J471" s="80"/>
      <c r="K471" s="80"/>
      <c r="L471" s="80"/>
      <c r="M471" s="80"/>
      <c r="N471" s="80"/>
      <c r="O471" s="80"/>
      <c r="P471" s="80"/>
      <c r="Q471" s="80"/>
      <c r="R471" s="80"/>
      <c r="S471" s="80"/>
      <c r="T471" s="80"/>
      <c r="U471" s="80"/>
    </row>
    <row r="472" spans="1:21">
      <c r="A472" s="48"/>
      <c r="B472" s="48"/>
      <c r="C472" s="48"/>
      <c r="D472" s="48"/>
      <c r="E472" s="48"/>
      <c r="F472" s="48"/>
      <c r="G472" s="48"/>
      <c r="H472" s="48"/>
      <c r="I472" s="80"/>
      <c r="J472" s="80"/>
      <c r="K472" s="80"/>
      <c r="L472" s="80"/>
      <c r="M472" s="80"/>
      <c r="N472" s="80"/>
      <c r="O472" s="80"/>
      <c r="P472" s="80"/>
      <c r="Q472" s="80"/>
      <c r="R472" s="80"/>
      <c r="S472" s="80"/>
      <c r="T472" s="80"/>
      <c r="U472" s="80"/>
    </row>
    <row r="473" spans="1:21">
      <c r="A473" s="48"/>
      <c r="B473" s="48"/>
      <c r="C473" s="48"/>
      <c r="D473" s="48"/>
      <c r="E473" s="48"/>
      <c r="F473" s="48"/>
      <c r="G473" s="48"/>
      <c r="H473" s="48"/>
      <c r="I473" s="80"/>
      <c r="J473" s="80"/>
      <c r="K473" s="80"/>
      <c r="L473" s="80"/>
      <c r="M473" s="80"/>
      <c r="N473" s="80"/>
      <c r="O473" s="80"/>
      <c r="P473" s="80"/>
      <c r="Q473" s="80"/>
      <c r="R473" s="80"/>
      <c r="S473" s="80"/>
      <c r="T473" s="80"/>
      <c r="U473" s="80"/>
    </row>
    <row r="474" spans="1:21">
      <c r="A474" s="48"/>
      <c r="B474" s="48"/>
      <c r="C474" s="48"/>
      <c r="D474" s="48"/>
      <c r="E474" s="48"/>
      <c r="F474" s="48"/>
      <c r="G474" s="48"/>
      <c r="H474" s="48"/>
      <c r="I474" s="80"/>
      <c r="J474" s="80"/>
      <c r="K474" s="80"/>
      <c r="L474" s="80"/>
      <c r="M474" s="80"/>
      <c r="N474" s="80"/>
      <c r="O474" s="80"/>
      <c r="P474" s="80"/>
      <c r="Q474" s="80"/>
      <c r="R474" s="80"/>
      <c r="S474" s="80"/>
      <c r="T474" s="80"/>
      <c r="U474" s="80"/>
    </row>
    <row r="475" spans="1:21">
      <c r="A475" s="48"/>
      <c r="B475" s="48"/>
      <c r="C475" s="48"/>
      <c r="D475" s="48"/>
      <c r="E475" s="48"/>
      <c r="F475" s="48"/>
      <c r="G475" s="48"/>
      <c r="H475" s="48"/>
      <c r="I475" s="80"/>
      <c r="J475" s="80"/>
      <c r="K475" s="80"/>
      <c r="L475" s="80"/>
      <c r="M475" s="80"/>
      <c r="N475" s="80"/>
      <c r="O475" s="80"/>
      <c r="P475" s="80"/>
      <c r="Q475" s="80"/>
      <c r="R475" s="80"/>
      <c r="S475" s="80"/>
      <c r="T475" s="80"/>
      <c r="U475" s="80"/>
    </row>
    <row r="476" spans="1:21">
      <c r="A476" s="48"/>
      <c r="B476" s="48"/>
      <c r="C476" s="48"/>
      <c r="D476" s="48"/>
      <c r="E476" s="48"/>
      <c r="F476" s="48"/>
      <c r="G476" s="48"/>
      <c r="H476" s="48"/>
      <c r="I476" s="80"/>
      <c r="J476" s="80"/>
      <c r="K476" s="80"/>
      <c r="L476" s="80"/>
      <c r="M476" s="80"/>
      <c r="N476" s="80"/>
      <c r="O476" s="80"/>
      <c r="P476" s="80"/>
      <c r="Q476" s="80"/>
      <c r="R476" s="80"/>
      <c r="S476" s="80"/>
      <c r="T476" s="80"/>
      <c r="U476" s="80"/>
    </row>
    <row r="477" spans="1:21">
      <c r="A477" s="48"/>
      <c r="B477" s="48"/>
      <c r="C477" s="48"/>
      <c r="D477" s="48"/>
      <c r="E477" s="48"/>
      <c r="F477" s="48"/>
      <c r="G477" s="48"/>
      <c r="H477" s="48"/>
      <c r="I477" s="80"/>
      <c r="J477" s="80"/>
      <c r="K477" s="80"/>
      <c r="L477" s="80"/>
      <c r="M477" s="80"/>
      <c r="N477" s="80"/>
      <c r="O477" s="80"/>
      <c r="P477" s="80"/>
      <c r="Q477" s="80"/>
      <c r="R477" s="80"/>
      <c r="S477" s="80"/>
      <c r="T477" s="80"/>
      <c r="U477" s="80"/>
    </row>
    <row r="478" spans="1:21">
      <c r="A478" s="48"/>
      <c r="B478" s="48"/>
      <c r="C478" s="48"/>
      <c r="D478" s="48"/>
      <c r="E478" s="48"/>
      <c r="F478" s="48"/>
      <c r="G478" s="48"/>
      <c r="H478" s="48"/>
      <c r="I478" s="80"/>
      <c r="J478" s="80"/>
      <c r="K478" s="80"/>
      <c r="L478" s="80"/>
      <c r="M478" s="80"/>
      <c r="N478" s="80"/>
      <c r="O478" s="80"/>
      <c r="P478" s="80"/>
      <c r="Q478" s="80"/>
      <c r="R478" s="80"/>
      <c r="S478" s="80"/>
      <c r="T478" s="80"/>
      <c r="U478" s="80"/>
    </row>
    <row r="479" spans="1:21">
      <c r="A479" s="48"/>
      <c r="B479" s="48"/>
      <c r="C479" s="48"/>
      <c r="D479" s="48"/>
      <c r="E479" s="48"/>
      <c r="F479" s="48"/>
      <c r="G479" s="48"/>
      <c r="H479" s="48"/>
      <c r="I479" s="80"/>
      <c r="J479" s="80"/>
      <c r="K479" s="80"/>
      <c r="L479" s="80"/>
      <c r="M479" s="80"/>
      <c r="N479" s="80"/>
      <c r="O479" s="80"/>
      <c r="P479" s="80"/>
      <c r="Q479" s="80"/>
      <c r="R479" s="80"/>
      <c r="S479" s="80"/>
      <c r="T479" s="80"/>
      <c r="U479" s="80"/>
    </row>
    <row r="480" spans="1:21">
      <c r="A480" s="48"/>
      <c r="B480" s="48"/>
      <c r="C480" s="48"/>
      <c r="D480" s="48"/>
      <c r="E480" s="48"/>
      <c r="F480" s="48"/>
      <c r="G480" s="48"/>
      <c r="H480" s="48"/>
      <c r="I480" s="80"/>
      <c r="J480" s="80"/>
      <c r="K480" s="80"/>
      <c r="L480" s="80"/>
      <c r="M480" s="80"/>
      <c r="N480" s="80"/>
      <c r="O480" s="80"/>
      <c r="P480" s="80"/>
      <c r="Q480" s="80"/>
      <c r="R480" s="80"/>
      <c r="S480" s="80"/>
      <c r="T480" s="80"/>
      <c r="U480" s="80"/>
    </row>
    <row r="481" spans="1:21">
      <c r="A481" s="48"/>
      <c r="B481" s="48"/>
      <c r="C481" s="48"/>
      <c r="D481" s="48"/>
      <c r="E481" s="48"/>
      <c r="F481" s="48"/>
      <c r="G481" s="48"/>
      <c r="H481" s="48"/>
      <c r="I481" s="80"/>
      <c r="J481" s="80"/>
      <c r="K481" s="80"/>
      <c r="L481" s="80"/>
      <c r="M481" s="80"/>
      <c r="N481" s="80"/>
      <c r="O481" s="80"/>
      <c r="P481" s="80"/>
      <c r="Q481" s="80"/>
      <c r="R481" s="80"/>
      <c r="S481" s="80"/>
      <c r="T481" s="80"/>
      <c r="U481" s="80"/>
    </row>
    <row r="482" spans="1:21">
      <c r="A482" s="48"/>
      <c r="B482" s="48"/>
      <c r="C482" s="48"/>
      <c r="D482" s="48"/>
      <c r="E482" s="48"/>
      <c r="F482" s="48"/>
      <c r="G482" s="48"/>
      <c r="H482" s="48"/>
      <c r="I482" s="80"/>
      <c r="J482" s="80"/>
      <c r="K482" s="80"/>
      <c r="L482" s="80"/>
      <c r="M482" s="80"/>
      <c r="N482" s="80"/>
      <c r="O482" s="80"/>
      <c r="P482" s="80"/>
      <c r="Q482" s="80"/>
      <c r="R482" s="80"/>
      <c r="S482" s="80"/>
      <c r="T482" s="80"/>
      <c r="U482" s="80"/>
    </row>
    <row r="483" spans="1:21">
      <c r="A483" s="48"/>
      <c r="B483" s="48"/>
      <c r="C483" s="48"/>
      <c r="D483" s="48"/>
      <c r="E483" s="48"/>
      <c r="F483" s="48"/>
      <c r="G483" s="48"/>
      <c r="H483" s="48"/>
      <c r="I483" s="80"/>
      <c r="J483" s="80"/>
      <c r="K483" s="80"/>
      <c r="L483" s="80"/>
      <c r="M483" s="80"/>
      <c r="N483" s="80"/>
      <c r="O483" s="80"/>
      <c r="P483" s="80"/>
      <c r="Q483" s="80"/>
      <c r="R483" s="80"/>
      <c r="S483" s="80"/>
      <c r="T483" s="80"/>
      <c r="U483" s="80"/>
    </row>
    <row r="484" spans="1:21">
      <c r="A484" s="48"/>
      <c r="B484" s="48"/>
      <c r="C484" s="48"/>
      <c r="D484" s="48"/>
      <c r="E484" s="48"/>
      <c r="F484" s="48"/>
      <c r="G484" s="48"/>
      <c r="H484" s="48"/>
      <c r="I484" s="80"/>
      <c r="J484" s="80"/>
      <c r="K484" s="80"/>
      <c r="L484" s="80"/>
      <c r="M484" s="80"/>
      <c r="N484" s="80"/>
      <c r="O484" s="80"/>
      <c r="P484" s="80"/>
      <c r="Q484" s="80"/>
      <c r="R484" s="80"/>
      <c r="S484" s="80"/>
      <c r="T484" s="80"/>
      <c r="U484" s="80"/>
    </row>
    <row r="485" spans="1:21">
      <c r="A485" s="48"/>
      <c r="B485" s="48"/>
      <c r="C485" s="48"/>
      <c r="D485" s="48"/>
      <c r="E485" s="48"/>
      <c r="F485" s="48"/>
      <c r="G485" s="48"/>
      <c r="H485" s="48"/>
      <c r="I485" s="80"/>
      <c r="J485" s="80"/>
      <c r="K485" s="80"/>
      <c r="L485" s="80"/>
      <c r="M485" s="80"/>
      <c r="N485" s="80"/>
      <c r="O485" s="80"/>
      <c r="P485" s="80"/>
      <c r="Q485" s="80"/>
      <c r="R485" s="80"/>
      <c r="S485" s="80"/>
      <c r="T485" s="80"/>
      <c r="U485" s="80"/>
    </row>
    <row r="486" spans="1:21">
      <c r="A486" s="48"/>
      <c r="B486" s="48"/>
      <c r="C486" s="48"/>
      <c r="D486" s="48"/>
      <c r="E486" s="48"/>
      <c r="F486" s="48"/>
      <c r="G486" s="48"/>
      <c r="H486" s="48"/>
      <c r="I486" s="80"/>
      <c r="J486" s="80"/>
      <c r="K486" s="80"/>
      <c r="L486" s="80"/>
      <c r="M486" s="80"/>
      <c r="N486" s="80"/>
      <c r="O486" s="80"/>
      <c r="P486" s="80"/>
      <c r="Q486" s="80"/>
      <c r="R486" s="80"/>
      <c r="S486" s="80"/>
      <c r="T486" s="80"/>
      <c r="U486" s="80"/>
    </row>
    <row r="487" spans="1:21">
      <c r="A487" s="48"/>
      <c r="B487" s="48"/>
      <c r="C487" s="48"/>
      <c r="D487" s="48"/>
      <c r="E487" s="48"/>
      <c r="F487" s="48"/>
      <c r="G487" s="48"/>
      <c r="H487" s="48"/>
      <c r="I487" s="80"/>
      <c r="J487" s="80"/>
      <c r="K487" s="80"/>
      <c r="L487" s="80"/>
      <c r="M487" s="80"/>
      <c r="N487" s="80"/>
      <c r="O487" s="80"/>
      <c r="P487" s="80"/>
      <c r="Q487" s="80"/>
      <c r="R487" s="80"/>
      <c r="S487" s="80"/>
      <c r="T487" s="80"/>
      <c r="U487" s="80"/>
    </row>
    <row r="488" spans="1:21">
      <c r="A488" s="48"/>
      <c r="B488" s="48"/>
      <c r="C488" s="48"/>
      <c r="D488" s="48"/>
      <c r="E488" s="48"/>
      <c r="F488" s="48"/>
      <c r="G488" s="48"/>
      <c r="H488" s="48"/>
      <c r="I488" s="80"/>
      <c r="J488" s="80"/>
      <c r="K488" s="80"/>
      <c r="L488" s="80"/>
      <c r="M488" s="80"/>
      <c r="N488" s="80"/>
      <c r="O488" s="80"/>
      <c r="P488" s="80"/>
      <c r="Q488" s="80"/>
      <c r="R488" s="80"/>
      <c r="S488" s="80"/>
      <c r="T488" s="80"/>
      <c r="U488" s="80"/>
    </row>
    <row r="489" spans="1:21">
      <c r="A489" s="48"/>
      <c r="B489" s="48"/>
      <c r="C489" s="48"/>
      <c r="D489" s="48"/>
      <c r="E489" s="48"/>
      <c r="F489" s="48"/>
      <c r="G489" s="48"/>
      <c r="H489" s="48"/>
      <c r="I489" s="80"/>
      <c r="J489" s="80"/>
      <c r="K489" s="80"/>
      <c r="L489" s="80"/>
      <c r="M489" s="80"/>
      <c r="N489" s="80"/>
      <c r="O489" s="80"/>
      <c r="P489" s="80"/>
      <c r="Q489" s="80"/>
      <c r="R489" s="80"/>
      <c r="S489" s="80"/>
      <c r="T489" s="80"/>
      <c r="U489" s="80"/>
    </row>
    <row r="490" spans="1:21">
      <c r="A490" s="48"/>
      <c r="B490" s="48"/>
      <c r="C490" s="48"/>
      <c r="D490" s="48"/>
      <c r="E490" s="48"/>
      <c r="F490" s="48"/>
      <c r="G490" s="48"/>
      <c r="H490" s="48"/>
      <c r="I490" s="80"/>
      <c r="J490" s="80"/>
      <c r="K490" s="80"/>
      <c r="L490" s="80"/>
      <c r="M490" s="80"/>
      <c r="N490" s="80"/>
      <c r="O490" s="80"/>
      <c r="P490" s="80"/>
      <c r="Q490" s="80"/>
      <c r="R490" s="80"/>
      <c r="S490" s="80"/>
      <c r="T490" s="80"/>
      <c r="U490" s="80"/>
    </row>
    <row r="491" spans="1:21">
      <c r="A491" s="48"/>
      <c r="B491" s="48"/>
      <c r="C491" s="48"/>
      <c r="D491" s="48"/>
      <c r="E491" s="48"/>
      <c r="F491" s="48"/>
      <c r="G491" s="48"/>
      <c r="H491" s="48"/>
      <c r="I491" s="80"/>
      <c r="J491" s="80"/>
      <c r="K491" s="80"/>
      <c r="L491" s="80"/>
      <c r="M491" s="80"/>
      <c r="N491" s="80"/>
      <c r="O491" s="80"/>
      <c r="P491" s="80"/>
      <c r="Q491" s="80"/>
      <c r="R491" s="80"/>
      <c r="S491" s="80"/>
      <c r="T491" s="80"/>
      <c r="U491" s="80"/>
    </row>
    <row r="492" spans="1:21">
      <c r="A492" s="48"/>
      <c r="B492" s="48"/>
      <c r="C492" s="48"/>
      <c r="D492" s="48"/>
      <c r="E492" s="48"/>
      <c r="F492" s="48"/>
      <c r="G492" s="48"/>
      <c r="H492" s="48"/>
      <c r="I492" s="80"/>
      <c r="J492" s="80"/>
      <c r="K492" s="80"/>
      <c r="L492" s="80"/>
      <c r="M492" s="80"/>
      <c r="N492" s="80"/>
      <c r="O492" s="80"/>
      <c r="P492" s="80"/>
      <c r="Q492" s="80"/>
      <c r="R492" s="80"/>
      <c r="S492" s="80"/>
      <c r="T492" s="80"/>
      <c r="U492" s="80"/>
    </row>
    <row r="493" spans="1:21">
      <c r="A493" s="48"/>
      <c r="B493" s="48"/>
      <c r="C493" s="48"/>
      <c r="D493" s="48"/>
      <c r="E493" s="48"/>
      <c r="F493" s="48"/>
      <c r="G493" s="48"/>
      <c r="H493" s="48"/>
      <c r="I493" s="80"/>
      <c r="J493" s="80"/>
      <c r="K493" s="80"/>
      <c r="L493" s="80"/>
      <c r="M493" s="80"/>
      <c r="N493" s="80"/>
      <c r="O493" s="80"/>
      <c r="P493" s="80"/>
      <c r="Q493" s="80"/>
      <c r="R493" s="80"/>
      <c r="S493" s="80"/>
      <c r="T493" s="80"/>
      <c r="U493" s="80"/>
    </row>
    <row r="494" spans="1:21">
      <c r="A494" s="48"/>
      <c r="B494" s="48"/>
      <c r="C494" s="48"/>
      <c r="D494" s="48"/>
      <c r="E494" s="48"/>
      <c r="F494" s="48"/>
      <c r="G494" s="48"/>
      <c r="H494" s="48"/>
      <c r="I494" s="80"/>
      <c r="J494" s="80"/>
      <c r="K494" s="80"/>
      <c r="L494" s="80"/>
      <c r="M494" s="80"/>
      <c r="N494" s="80"/>
      <c r="O494" s="80"/>
      <c r="P494" s="80"/>
      <c r="Q494" s="80"/>
      <c r="R494" s="80"/>
      <c r="S494" s="80"/>
      <c r="T494" s="80"/>
      <c r="U494" s="80"/>
    </row>
    <row r="495" spans="1:21">
      <c r="A495" s="48"/>
      <c r="B495" s="48"/>
      <c r="C495" s="48"/>
      <c r="D495" s="48"/>
      <c r="E495" s="48"/>
      <c r="F495" s="48"/>
      <c r="G495" s="48"/>
      <c r="H495" s="48"/>
      <c r="I495" s="80"/>
      <c r="J495" s="80"/>
      <c r="K495" s="80"/>
      <c r="L495" s="80"/>
      <c r="M495" s="80"/>
      <c r="N495" s="80"/>
      <c r="O495" s="80"/>
      <c r="P495" s="80"/>
      <c r="Q495" s="80"/>
      <c r="R495" s="80"/>
      <c r="S495" s="80"/>
      <c r="T495" s="80"/>
      <c r="U495" s="80"/>
    </row>
    <row r="496" spans="1:21">
      <c r="A496" s="48"/>
      <c r="B496" s="48"/>
      <c r="C496" s="48"/>
      <c r="D496" s="48"/>
      <c r="E496" s="48"/>
      <c r="F496" s="48"/>
      <c r="G496" s="48"/>
      <c r="H496" s="48"/>
      <c r="I496" s="80"/>
      <c r="J496" s="80"/>
      <c r="K496" s="80"/>
      <c r="L496" s="80"/>
      <c r="M496" s="80"/>
      <c r="N496" s="80"/>
      <c r="O496" s="80"/>
      <c r="P496" s="80"/>
      <c r="Q496" s="80"/>
      <c r="R496" s="80"/>
      <c r="S496" s="80"/>
      <c r="T496" s="80"/>
      <c r="U496" s="80"/>
    </row>
    <row r="497" spans="1:21">
      <c r="A497" s="48"/>
      <c r="B497" s="48"/>
      <c r="C497" s="48"/>
      <c r="D497" s="48"/>
      <c r="E497" s="48"/>
      <c r="F497" s="48"/>
      <c r="G497" s="48"/>
      <c r="H497" s="48"/>
      <c r="I497" s="80"/>
      <c r="J497" s="80"/>
      <c r="K497" s="80"/>
      <c r="L497" s="80"/>
      <c r="M497" s="80"/>
      <c r="N497" s="80"/>
      <c r="O497" s="80"/>
      <c r="P497" s="80"/>
      <c r="Q497" s="80"/>
      <c r="R497" s="80"/>
      <c r="S497" s="80"/>
      <c r="T497" s="80"/>
      <c r="U497" s="80"/>
    </row>
    <row r="498" spans="1:21">
      <c r="A498" s="48"/>
      <c r="B498" s="48"/>
      <c r="C498" s="48"/>
      <c r="D498" s="48"/>
      <c r="E498" s="48"/>
      <c r="F498" s="48"/>
      <c r="G498" s="48"/>
      <c r="H498" s="48"/>
      <c r="I498" s="80"/>
      <c r="J498" s="80"/>
      <c r="K498" s="80"/>
      <c r="L498" s="80"/>
      <c r="M498" s="80"/>
      <c r="N498" s="80"/>
      <c r="O498" s="80"/>
      <c r="P498" s="80"/>
      <c r="Q498" s="80"/>
      <c r="R498" s="80"/>
      <c r="S498" s="80"/>
      <c r="T498" s="80"/>
      <c r="U498" s="80"/>
    </row>
    <row r="499" spans="1:21">
      <c r="A499" s="48"/>
      <c r="B499" s="48"/>
      <c r="C499" s="48"/>
      <c r="D499" s="48"/>
      <c r="E499" s="48"/>
      <c r="F499" s="48"/>
      <c r="G499" s="48"/>
      <c r="H499" s="48"/>
      <c r="I499" s="80"/>
      <c r="J499" s="80"/>
      <c r="K499" s="80"/>
      <c r="L499" s="80"/>
      <c r="M499" s="80"/>
      <c r="N499" s="80"/>
      <c r="O499" s="80"/>
      <c r="P499" s="80"/>
      <c r="Q499" s="80"/>
      <c r="R499" s="80"/>
      <c r="S499" s="80"/>
      <c r="T499" s="80"/>
      <c r="U499" s="80"/>
    </row>
    <row r="500" spans="1:21">
      <c r="A500" s="48"/>
      <c r="B500" s="48"/>
      <c r="C500" s="48"/>
      <c r="D500" s="48"/>
      <c r="E500" s="48"/>
      <c r="F500" s="48"/>
      <c r="G500" s="48"/>
      <c r="H500" s="48"/>
      <c r="I500" s="80"/>
      <c r="J500" s="80"/>
      <c r="K500" s="80"/>
      <c r="L500" s="80"/>
      <c r="M500" s="80"/>
      <c r="N500" s="80"/>
      <c r="O500" s="80"/>
      <c r="P500" s="80"/>
      <c r="Q500" s="80"/>
      <c r="R500" s="80"/>
      <c r="S500" s="80"/>
      <c r="T500" s="80"/>
      <c r="U500" s="80"/>
    </row>
    <row r="501" spans="1:21">
      <c r="A501" s="48"/>
      <c r="B501" s="48"/>
      <c r="C501" s="48"/>
      <c r="D501" s="48"/>
      <c r="E501" s="48"/>
      <c r="F501" s="48"/>
      <c r="G501" s="48"/>
      <c r="H501" s="48"/>
      <c r="I501" s="80"/>
      <c r="J501" s="80"/>
      <c r="K501" s="80"/>
      <c r="L501" s="80"/>
      <c r="M501" s="80"/>
      <c r="N501" s="80"/>
      <c r="O501" s="80"/>
      <c r="P501" s="80"/>
      <c r="Q501" s="80"/>
      <c r="R501" s="80"/>
      <c r="S501" s="80"/>
      <c r="T501" s="80"/>
      <c r="U501" s="80"/>
    </row>
    <row r="502" spans="1:21">
      <c r="A502" s="48"/>
      <c r="B502" s="48"/>
      <c r="C502" s="48"/>
      <c r="D502" s="48"/>
      <c r="E502" s="48"/>
      <c r="F502" s="48"/>
      <c r="G502" s="48"/>
      <c r="H502" s="48"/>
      <c r="I502" s="80"/>
      <c r="J502" s="80"/>
      <c r="K502" s="80"/>
      <c r="L502" s="80"/>
      <c r="M502" s="80"/>
      <c r="N502" s="80"/>
      <c r="O502" s="80"/>
      <c r="P502" s="80"/>
      <c r="Q502" s="80"/>
      <c r="R502" s="80"/>
      <c r="S502" s="80"/>
      <c r="T502" s="80"/>
      <c r="U502" s="80"/>
    </row>
    <row r="503" spans="1:21">
      <c r="A503" s="48"/>
      <c r="B503" s="48"/>
      <c r="C503" s="48"/>
      <c r="D503" s="48"/>
      <c r="E503" s="48"/>
      <c r="F503" s="48"/>
      <c r="G503" s="48"/>
      <c r="H503" s="48"/>
      <c r="I503" s="80"/>
      <c r="J503" s="80"/>
      <c r="K503" s="80"/>
      <c r="L503" s="80"/>
      <c r="M503" s="80"/>
      <c r="N503" s="80"/>
      <c r="O503" s="80"/>
      <c r="P503" s="80"/>
      <c r="Q503" s="80"/>
      <c r="R503" s="80"/>
      <c r="S503" s="80"/>
      <c r="T503" s="80"/>
      <c r="U503" s="80"/>
    </row>
    <row r="504" spans="1:21">
      <c r="A504" s="48"/>
      <c r="B504" s="48"/>
      <c r="C504" s="48"/>
      <c r="D504" s="48"/>
      <c r="E504" s="48"/>
      <c r="F504" s="48"/>
      <c r="G504" s="48"/>
      <c r="H504" s="48"/>
      <c r="I504" s="80"/>
      <c r="J504" s="80"/>
      <c r="K504" s="80"/>
      <c r="L504" s="80"/>
      <c r="M504" s="80"/>
      <c r="N504" s="80"/>
      <c r="O504" s="80"/>
      <c r="P504" s="80"/>
      <c r="Q504" s="80"/>
      <c r="R504" s="80"/>
      <c r="S504" s="80"/>
      <c r="T504" s="80"/>
      <c r="U504" s="80"/>
    </row>
    <row r="505" spans="1:21">
      <c r="A505" s="48"/>
      <c r="B505" s="48"/>
      <c r="C505" s="48"/>
      <c r="D505" s="48"/>
      <c r="E505" s="48"/>
      <c r="F505" s="48"/>
      <c r="G505" s="48"/>
      <c r="H505" s="48"/>
      <c r="I505" s="80"/>
      <c r="J505" s="80"/>
      <c r="K505" s="80"/>
      <c r="L505" s="80"/>
      <c r="M505" s="80"/>
      <c r="N505" s="80"/>
      <c r="O505" s="80"/>
      <c r="P505" s="80"/>
      <c r="Q505" s="80"/>
      <c r="R505" s="80"/>
      <c r="S505" s="80"/>
      <c r="T505" s="80"/>
      <c r="U505" s="80"/>
    </row>
    <row r="506" spans="1:21">
      <c r="A506" s="48"/>
      <c r="B506" s="48"/>
      <c r="C506" s="48"/>
      <c r="D506" s="48"/>
      <c r="E506" s="48"/>
      <c r="F506" s="48"/>
      <c r="G506" s="48"/>
      <c r="H506" s="48"/>
      <c r="I506" s="80"/>
      <c r="J506" s="80"/>
      <c r="K506" s="80"/>
      <c r="L506" s="80"/>
      <c r="M506" s="80"/>
      <c r="N506" s="80"/>
      <c r="O506" s="80"/>
      <c r="P506" s="80"/>
      <c r="Q506" s="80"/>
      <c r="R506" s="80"/>
      <c r="S506" s="80"/>
      <c r="T506" s="80"/>
      <c r="U506" s="80"/>
    </row>
    <row r="507" spans="1:21">
      <c r="A507" s="48"/>
      <c r="B507" s="48"/>
      <c r="C507" s="48"/>
      <c r="D507" s="48"/>
      <c r="E507" s="48"/>
      <c r="F507" s="48"/>
      <c r="G507" s="48"/>
      <c r="H507" s="48"/>
      <c r="I507" s="80"/>
      <c r="J507" s="80"/>
      <c r="K507" s="80"/>
      <c r="L507" s="80"/>
      <c r="M507" s="80"/>
      <c r="N507" s="80"/>
      <c r="O507" s="80"/>
      <c r="P507" s="80"/>
      <c r="Q507" s="80"/>
      <c r="R507" s="80"/>
      <c r="S507" s="80"/>
      <c r="T507" s="80"/>
      <c r="U507" s="80"/>
    </row>
    <row r="508" spans="1:21">
      <c r="A508" s="48"/>
      <c r="B508" s="48"/>
      <c r="C508" s="48"/>
      <c r="D508" s="48"/>
      <c r="E508" s="48"/>
      <c r="F508" s="48"/>
      <c r="G508" s="48"/>
      <c r="H508" s="48"/>
    </row>
    <row r="509" spans="1:21">
      <c r="A509" s="48"/>
      <c r="B509" s="48"/>
      <c r="C509" s="48"/>
      <c r="D509" s="48"/>
      <c r="E509" s="48"/>
      <c r="F509" s="48"/>
      <c r="G509" s="48"/>
      <c r="H509" s="48"/>
    </row>
    <row r="510" spans="1:21">
      <c r="A510" s="48"/>
      <c r="B510" s="48"/>
      <c r="C510" s="48"/>
      <c r="D510" s="48"/>
      <c r="E510" s="48"/>
      <c r="F510" s="48"/>
      <c r="G510" s="48"/>
      <c r="H510" s="48"/>
    </row>
    <row r="511" spans="1:21">
      <c r="A511" s="48"/>
      <c r="B511" s="48"/>
      <c r="C511" s="48"/>
      <c r="D511" s="48"/>
      <c r="E511" s="48"/>
      <c r="F511" s="48"/>
      <c r="G511" s="48"/>
      <c r="H511" s="48"/>
    </row>
    <row r="512" spans="1:21">
      <c r="A512" s="48"/>
      <c r="B512" s="48"/>
      <c r="C512" s="48"/>
      <c r="D512" s="48"/>
      <c r="E512" s="48"/>
      <c r="F512" s="48"/>
      <c r="G512" s="48"/>
      <c r="H512" s="48"/>
    </row>
    <row r="513" spans="1:8">
      <c r="A513" s="48"/>
      <c r="B513" s="48"/>
      <c r="C513" s="48"/>
      <c r="D513" s="48"/>
      <c r="E513" s="48"/>
      <c r="F513" s="48"/>
      <c r="G513" s="48"/>
      <c r="H513" s="48"/>
    </row>
    <row r="514" spans="1:8">
      <c r="A514" s="48"/>
      <c r="B514" s="48"/>
      <c r="C514" s="48"/>
      <c r="D514" s="48"/>
      <c r="E514" s="48"/>
      <c r="F514" s="48"/>
      <c r="G514" s="48"/>
      <c r="H514" s="48"/>
    </row>
    <row r="515" spans="1:8">
      <c r="A515" s="48"/>
      <c r="B515" s="48"/>
      <c r="C515" s="48"/>
      <c r="D515" s="48"/>
      <c r="E515" s="48"/>
      <c r="F515" s="48"/>
      <c r="G515" s="48"/>
      <c r="H515" s="48"/>
    </row>
    <row r="516" spans="1:8">
      <c r="A516" s="48"/>
      <c r="B516" s="48"/>
      <c r="C516" s="48"/>
      <c r="D516" s="48"/>
      <c r="E516" s="48"/>
      <c r="F516" s="48"/>
      <c r="G516" s="48"/>
      <c r="H516" s="48"/>
    </row>
    <row r="517" spans="1:8">
      <c r="A517" s="48"/>
      <c r="B517" s="48"/>
      <c r="C517" s="48"/>
      <c r="D517" s="48"/>
      <c r="E517" s="48"/>
      <c r="F517" s="48"/>
      <c r="G517" s="48"/>
      <c r="H517" s="48"/>
    </row>
    <row r="518" spans="1:8">
      <c r="A518" s="48"/>
      <c r="B518" s="48"/>
      <c r="C518" s="48"/>
      <c r="D518" s="48"/>
      <c r="E518" s="48"/>
      <c r="F518" s="48"/>
      <c r="G518" s="48"/>
      <c r="H518" s="48"/>
    </row>
    <row r="519" spans="1:8">
      <c r="A519" s="48"/>
      <c r="B519" s="48"/>
      <c r="C519" s="48"/>
      <c r="D519" s="48"/>
      <c r="E519" s="48"/>
      <c r="F519" s="48"/>
      <c r="G519" s="48"/>
      <c r="H519" s="48"/>
    </row>
    <row r="520" spans="1:8">
      <c r="A520" s="48"/>
      <c r="B520" s="48"/>
      <c r="C520" s="48"/>
      <c r="D520" s="48"/>
      <c r="E520" s="48"/>
      <c r="F520" s="48"/>
      <c r="G520" s="48"/>
      <c r="H520" s="48"/>
    </row>
    <row r="521" spans="1:8">
      <c r="A521" s="48"/>
      <c r="B521" s="48"/>
      <c r="C521" s="48"/>
      <c r="D521" s="48"/>
      <c r="E521" s="48"/>
      <c r="F521" s="48"/>
      <c r="G521" s="48"/>
      <c r="H521" s="48"/>
    </row>
    <row r="522" spans="1:8">
      <c r="A522" s="48"/>
      <c r="B522" s="48"/>
      <c r="C522" s="48"/>
      <c r="D522" s="48"/>
      <c r="E522" s="48"/>
      <c r="F522" s="48"/>
      <c r="G522" s="48"/>
      <c r="H522" s="48"/>
    </row>
    <row r="523" spans="1:8">
      <c r="A523" s="48"/>
      <c r="B523" s="48"/>
      <c r="C523" s="48"/>
      <c r="D523" s="48"/>
      <c r="E523" s="48"/>
      <c r="F523" s="48"/>
      <c r="G523" s="48"/>
      <c r="H523" s="48"/>
    </row>
    <row r="524" spans="1:8">
      <c r="A524" s="48"/>
      <c r="B524" s="48"/>
      <c r="C524" s="48"/>
      <c r="D524" s="48"/>
      <c r="E524" s="48"/>
      <c r="F524" s="48"/>
      <c r="G524" s="48"/>
      <c r="H524" s="48"/>
    </row>
    <row r="525" spans="1:8">
      <c r="A525" s="48"/>
      <c r="B525" s="48"/>
      <c r="C525" s="48"/>
      <c r="D525" s="48"/>
      <c r="E525" s="48"/>
      <c r="F525" s="48"/>
      <c r="G525" s="48"/>
      <c r="H525" s="48"/>
    </row>
    <row r="526" spans="1:8">
      <c r="A526" s="48"/>
      <c r="B526" s="48"/>
      <c r="C526" s="48"/>
      <c r="D526" s="48"/>
      <c r="E526" s="48"/>
      <c r="F526" s="48"/>
      <c r="G526" s="48"/>
      <c r="H526" s="48"/>
    </row>
    <row r="527" spans="1:8">
      <c r="A527" s="48"/>
      <c r="B527" s="48"/>
      <c r="C527" s="48"/>
      <c r="D527" s="48"/>
      <c r="E527" s="48"/>
      <c r="F527" s="48"/>
      <c r="G527" s="48"/>
      <c r="H527" s="48"/>
    </row>
    <row r="528" spans="1:8">
      <c r="A528" s="48"/>
      <c r="B528" s="48"/>
      <c r="C528" s="48"/>
      <c r="D528" s="48"/>
      <c r="E528" s="48"/>
      <c r="F528" s="48"/>
      <c r="G528" s="48"/>
      <c r="H528" s="48"/>
    </row>
    <row r="529" spans="1:8">
      <c r="A529" s="48"/>
      <c r="B529" s="48"/>
      <c r="C529" s="48"/>
      <c r="D529" s="48"/>
      <c r="E529" s="48"/>
      <c r="F529" s="48"/>
      <c r="G529" s="48"/>
      <c r="H529" s="48"/>
    </row>
    <row r="530" spans="1:8">
      <c r="A530" s="48"/>
      <c r="B530" s="48"/>
      <c r="C530" s="48"/>
      <c r="D530" s="48"/>
      <c r="E530" s="48"/>
      <c r="F530" s="48"/>
      <c r="G530" s="48"/>
      <c r="H530" s="48"/>
    </row>
    <row r="531" spans="1:8">
      <c r="A531" s="48"/>
      <c r="B531" s="48"/>
      <c r="C531" s="48"/>
      <c r="D531" s="48"/>
      <c r="E531" s="48"/>
      <c r="F531" s="48"/>
      <c r="G531" s="48"/>
      <c r="H531" s="48"/>
    </row>
    <row r="532" spans="1:8">
      <c r="A532" s="48"/>
      <c r="B532" s="48"/>
      <c r="C532" s="48"/>
      <c r="D532" s="48"/>
      <c r="E532" s="48"/>
      <c r="F532" s="48"/>
      <c r="G532" s="48"/>
      <c r="H532" s="48"/>
    </row>
    <row r="533" spans="1:8">
      <c r="A533" s="48"/>
      <c r="B533" s="48"/>
      <c r="C533" s="48"/>
      <c r="D533" s="48"/>
      <c r="E533" s="48"/>
      <c r="F533" s="48"/>
      <c r="G533" s="48"/>
      <c r="H533" s="48"/>
    </row>
    <row r="534" spans="1:8">
      <c r="A534" s="48"/>
      <c r="B534" s="48"/>
      <c r="C534" s="48"/>
      <c r="D534" s="48"/>
      <c r="E534" s="48"/>
      <c r="F534" s="48"/>
      <c r="G534" s="48"/>
      <c r="H534" s="48"/>
    </row>
    <row r="535" spans="1:8">
      <c r="A535" s="48"/>
      <c r="B535" s="48"/>
      <c r="C535" s="48"/>
      <c r="D535" s="48"/>
      <c r="E535" s="48"/>
      <c r="F535" s="48"/>
      <c r="G535" s="48"/>
      <c r="H535" s="48"/>
    </row>
    <row r="536" spans="1:8">
      <c r="A536" s="48"/>
      <c r="B536" s="48"/>
      <c r="C536" s="48"/>
      <c r="D536" s="48"/>
      <c r="E536" s="48"/>
      <c r="F536" s="48"/>
      <c r="G536" s="48"/>
      <c r="H536" s="48"/>
    </row>
    <row r="537" spans="1:8">
      <c r="A537" s="48"/>
      <c r="B537" s="48"/>
      <c r="C537" s="48"/>
      <c r="D537" s="48"/>
      <c r="E537" s="48"/>
      <c r="F537" s="48"/>
      <c r="G537" s="48"/>
      <c r="H537" s="48"/>
    </row>
    <row r="538" spans="1:8">
      <c r="A538" s="48"/>
      <c r="B538" s="48"/>
      <c r="C538" s="48"/>
      <c r="D538" s="48"/>
      <c r="E538" s="48"/>
      <c r="F538" s="48"/>
      <c r="G538" s="48"/>
      <c r="H538" s="48"/>
    </row>
    <row r="539" spans="1:8">
      <c r="A539" s="48"/>
      <c r="B539" s="48"/>
      <c r="C539" s="48"/>
      <c r="D539" s="48"/>
      <c r="E539" s="48"/>
      <c r="F539" s="48"/>
      <c r="G539" s="48"/>
      <c r="H539" s="48"/>
    </row>
    <row r="540" spans="1:8">
      <c r="A540" s="48"/>
      <c r="B540" s="48"/>
      <c r="C540" s="48"/>
      <c r="D540" s="48"/>
      <c r="E540" s="48"/>
      <c r="F540" s="48"/>
      <c r="G540" s="48"/>
      <c r="H540" s="48"/>
    </row>
    <row r="541" spans="1:8">
      <c r="A541" s="48"/>
      <c r="B541" s="48"/>
      <c r="C541" s="48"/>
      <c r="D541" s="48"/>
      <c r="E541" s="48"/>
      <c r="F541" s="48"/>
      <c r="G541" s="48"/>
      <c r="H541" s="48"/>
    </row>
    <row r="542" spans="1:8">
      <c r="A542" s="48"/>
      <c r="B542" s="48"/>
      <c r="C542" s="48"/>
      <c r="D542" s="48"/>
      <c r="E542" s="48"/>
      <c r="F542" s="48"/>
      <c r="G542" s="48"/>
      <c r="H542" s="48"/>
    </row>
    <row r="543" spans="1:8">
      <c r="A543" s="48"/>
      <c r="B543" s="48"/>
      <c r="C543" s="48"/>
      <c r="D543" s="48"/>
      <c r="E543" s="48"/>
      <c r="F543" s="48"/>
      <c r="G543" s="48"/>
      <c r="H543" s="48"/>
    </row>
    <row r="544" spans="1:8">
      <c r="A544" s="48"/>
      <c r="B544" s="48"/>
      <c r="C544" s="48"/>
      <c r="D544" s="48"/>
      <c r="E544" s="48"/>
      <c r="F544" s="48"/>
      <c r="G544" s="48"/>
      <c r="H544" s="48"/>
    </row>
    <row r="545" spans="1:8">
      <c r="A545" s="48"/>
      <c r="B545" s="48"/>
      <c r="C545" s="48"/>
      <c r="D545" s="48"/>
      <c r="E545" s="48"/>
      <c r="F545" s="48"/>
      <c r="G545" s="48"/>
      <c r="H545" s="48"/>
    </row>
    <row r="546" spans="1:8">
      <c r="A546" s="48"/>
      <c r="B546" s="48"/>
      <c r="C546" s="48"/>
      <c r="D546" s="48"/>
      <c r="E546" s="48"/>
      <c r="F546" s="48"/>
      <c r="G546" s="48"/>
      <c r="H546" s="48"/>
    </row>
    <row r="547" spans="1:8">
      <c r="A547" s="48"/>
      <c r="B547" s="48"/>
      <c r="C547" s="48"/>
      <c r="D547" s="48"/>
      <c r="E547" s="48"/>
      <c r="F547" s="48"/>
      <c r="G547" s="48"/>
      <c r="H547" s="48"/>
    </row>
    <row r="548" spans="1:8">
      <c r="A548" s="48"/>
      <c r="B548" s="48"/>
      <c r="C548" s="48"/>
      <c r="D548" s="48"/>
      <c r="E548" s="48"/>
      <c r="F548" s="48"/>
      <c r="G548" s="48"/>
      <c r="H548" s="48"/>
    </row>
    <row r="549" spans="1:8">
      <c r="A549" s="48"/>
      <c r="B549" s="48"/>
      <c r="C549" s="48"/>
      <c r="D549" s="48"/>
      <c r="E549" s="48"/>
      <c r="F549" s="48"/>
      <c r="G549" s="48"/>
      <c r="H549" s="48"/>
    </row>
    <row r="550" spans="1:8">
      <c r="A550" s="48"/>
      <c r="B550" s="48"/>
      <c r="C550" s="48"/>
      <c r="D550" s="48"/>
      <c r="E550" s="48"/>
      <c r="F550" s="48"/>
      <c r="G550" s="48"/>
      <c r="H550" s="48"/>
    </row>
    <row r="551" spans="1:8">
      <c r="A551" s="48"/>
      <c r="B551" s="48"/>
      <c r="C551" s="48"/>
      <c r="D551" s="48"/>
      <c r="E551" s="48"/>
      <c r="F551" s="48"/>
      <c r="G551" s="48"/>
      <c r="H551" s="48"/>
    </row>
    <row r="552" spans="1:8">
      <c r="A552" s="48"/>
      <c r="B552" s="48"/>
      <c r="C552" s="48"/>
      <c r="D552" s="48"/>
      <c r="E552" s="48"/>
      <c r="F552" s="48"/>
      <c r="G552" s="48"/>
      <c r="H552" s="48"/>
    </row>
    <row r="553" spans="1:8">
      <c r="A553" s="48"/>
      <c r="B553" s="48"/>
      <c r="C553" s="48"/>
      <c r="D553" s="48"/>
      <c r="E553" s="48"/>
      <c r="F553" s="48"/>
      <c r="G553" s="48"/>
      <c r="H553" s="48"/>
    </row>
    <row r="554" spans="1:8">
      <c r="A554" s="48"/>
      <c r="B554" s="48"/>
      <c r="C554" s="48"/>
      <c r="D554" s="48"/>
      <c r="E554" s="48"/>
      <c r="F554" s="48"/>
      <c r="G554" s="48"/>
      <c r="H554" s="48"/>
    </row>
    <row r="555" spans="1:8">
      <c r="A555" s="48"/>
      <c r="B555" s="48"/>
      <c r="C555" s="48"/>
      <c r="D555" s="48"/>
      <c r="E555" s="48"/>
      <c r="F555" s="48"/>
      <c r="G555" s="48"/>
      <c r="H555" s="48"/>
    </row>
    <row r="556" spans="1:8">
      <c r="A556" s="48"/>
      <c r="B556" s="48"/>
      <c r="C556" s="48"/>
      <c r="D556" s="48"/>
      <c r="E556" s="48"/>
      <c r="F556" s="48"/>
      <c r="G556" s="48"/>
      <c r="H556" s="48"/>
    </row>
    <row r="557" spans="1:8">
      <c r="A557" s="48"/>
      <c r="B557" s="48"/>
      <c r="C557" s="48"/>
      <c r="D557" s="48"/>
      <c r="E557" s="48"/>
      <c r="F557" s="48"/>
      <c r="G557" s="48"/>
      <c r="H557" s="48"/>
    </row>
    <row r="558" spans="1:8">
      <c r="A558" s="48"/>
      <c r="B558" s="48"/>
      <c r="C558" s="48"/>
      <c r="D558" s="48"/>
      <c r="E558" s="48"/>
      <c r="F558" s="48"/>
      <c r="G558" s="48"/>
      <c r="H558" s="48"/>
    </row>
    <row r="559" spans="1:8">
      <c r="A559" s="48"/>
      <c r="B559" s="48"/>
      <c r="C559" s="48"/>
      <c r="D559" s="48"/>
      <c r="E559" s="48"/>
      <c r="F559" s="48"/>
      <c r="G559" s="48"/>
      <c r="H559" s="48"/>
    </row>
    <row r="560" spans="1:8">
      <c r="A560" s="48"/>
      <c r="B560" s="48"/>
      <c r="C560" s="48"/>
      <c r="D560" s="48"/>
      <c r="E560" s="48"/>
      <c r="F560" s="48"/>
      <c r="G560" s="48"/>
      <c r="H560" s="48"/>
    </row>
    <row r="561" spans="1:8">
      <c r="A561" s="48"/>
      <c r="B561" s="48"/>
      <c r="C561" s="48"/>
      <c r="D561" s="48"/>
      <c r="E561" s="48"/>
      <c r="F561" s="48"/>
      <c r="G561" s="48"/>
      <c r="H561" s="48"/>
    </row>
    <row r="562" spans="1:8">
      <c r="A562" s="48"/>
      <c r="B562" s="48"/>
      <c r="C562" s="48"/>
      <c r="D562" s="48"/>
      <c r="E562" s="48"/>
      <c r="F562" s="48"/>
      <c r="G562" s="48"/>
      <c r="H562" s="48"/>
    </row>
    <row r="563" spans="1:8">
      <c r="A563" s="48"/>
      <c r="B563" s="48"/>
      <c r="C563" s="48"/>
      <c r="D563" s="48"/>
      <c r="E563" s="48"/>
      <c r="F563" s="48"/>
      <c r="G563" s="48"/>
      <c r="H563" s="48"/>
    </row>
    <row r="564" spans="1:8">
      <c r="A564" s="48"/>
      <c r="B564" s="48"/>
      <c r="C564" s="48"/>
      <c r="D564" s="48"/>
      <c r="E564" s="48"/>
      <c r="F564" s="48"/>
      <c r="G564" s="48"/>
      <c r="H564" s="48"/>
    </row>
    <row r="565" spans="1:8">
      <c r="A565" s="48"/>
      <c r="B565" s="48"/>
      <c r="C565" s="48"/>
      <c r="D565" s="48"/>
      <c r="E565" s="48"/>
      <c r="F565" s="48"/>
      <c r="G565" s="48"/>
      <c r="H565" s="48"/>
    </row>
    <row r="566" spans="1:8">
      <c r="A566" s="48"/>
      <c r="B566" s="48"/>
      <c r="C566" s="48"/>
      <c r="D566" s="48"/>
      <c r="E566" s="48"/>
      <c r="F566" s="48"/>
      <c r="G566" s="48"/>
      <c r="H566" s="48"/>
    </row>
    <row r="567" spans="1:8">
      <c r="A567" s="48"/>
      <c r="B567" s="48"/>
      <c r="C567" s="48"/>
      <c r="D567" s="48"/>
      <c r="E567" s="48"/>
      <c r="F567" s="48"/>
      <c r="G567" s="48"/>
      <c r="H567" s="48"/>
    </row>
    <row r="568" spans="1:8">
      <c r="A568" s="48"/>
      <c r="B568" s="48"/>
      <c r="C568" s="48"/>
      <c r="D568" s="48"/>
      <c r="E568" s="48"/>
      <c r="F568" s="48"/>
      <c r="G568" s="48"/>
      <c r="H568" s="48"/>
    </row>
    <row r="569" spans="1:8">
      <c r="A569" s="48"/>
      <c r="B569" s="48"/>
      <c r="C569" s="48"/>
      <c r="D569" s="48"/>
      <c r="E569" s="48"/>
      <c r="F569" s="48"/>
      <c r="G569" s="48"/>
      <c r="H569" s="48"/>
    </row>
    <row r="570" spans="1:8">
      <c r="A570" s="48"/>
      <c r="B570" s="48"/>
      <c r="C570" s="48"/>
      <c r="D570" s="48"/>
      <c r="E570" s="48"/>
      <c r="F570" s="48"/>
      <c r="G570" s="48"/>
      <c r="H570" s="48"/>
    </row>
    <row r="571" spans="1:8">
      <c r="A571" s="48"/>
      <c r="B571" s="48"/>
      <c r="C571" s="48"/>
      <c r="D571" s="48"/>
      <c r="E571" s="48"/>
      <c r="F571" s="48"/>
      <c r="G571" s="48"/>
      <c r="H571" s="48"/>
    </row>
    <row r="572" spans="1:8">
      <c r="A572" s="48"/>
      <c r="B572" s="48"/>
      <c r="C572" s="48"/>
      <c r="D572" s="48"/>
      <c r="E572" s="48"/>
      <c r="F572" s="48"/>
      <c r="G572" s="48"/>
      <c r="H572" s="48"/>
    </row>
    <row r="573" spans="1:8">
      <c r="A573" s="48"/>
      <c r="B573" s="48"/>
      <c r="C573" s="48"/>
      <c r="D573" s="48"/>
      <c r="E573" s="48"/>
      <c r="F573" s="48"/>
      <c r="G573" s="48"/>
      <c r="H573" s="48"/>
    </row>
    <row r="574" spans="1:8">
      <c r="A574" s="48"/>
      <c r="B574" s="48"/>
      <c r="C574" s="48"/>
      <c r="D574" s="48"/>
      <c r="E574" s="48"/>
      <c r="F574" s="48"/>
      <c r="G574" s="48"/>
      <c r="H574" s="48"/>
    </row>
    <row r="575" spans="1:8">
      <c r="A575" s="48"/>
      <c r="B575" s="48"/>
      <c r="C575" s="48"/>
      <c r="D575" s="48"/>
      <c r="E575" s="48"/>
      <c r="F575" s="48"/>
      <c r="G575" s="48"/>
      <c r="H575" s="48"/>
    </row>
    <row r="576" spans="1:8">
      <c r="A576" s="48"/>
      <c r="B576" s="48"/>
      <c r="C576" s="48"/>
      <c r="D576" s="48"/>
      <c r="E576" s="48"/>
      <c r="F576" s="48"/>
      <c r="G576" s="48"/>
      <c r="H576" s="48"/>
    </row>
    <row r="577" spans="1:8">
      <c r="A577" s="48"/>
      <c r="B577" s="48"/>
      <c r="C577" s="48"/>
      <c r="D577" s="48"/>
      <c r="E577" s="48"/>
      <c r="F577" s="48"/>
      <c r="G577" s="48"/>
      <c r="H577" s="48"/>
    </row>
    <row r="578" spans="1:8">
      <c r="A578" s="48"/>
      <c r="B578" s="48"/>
      <c r="C578" s="48"/>
      <c r="D578" s="48"/>
      <c r="E578" s="48"/>
      <c r="F578" s="48"/>
      <c r="G578" s="48"/>
      <c r="H578" s="48"/>
    </row>
    <row r="579" spans="1:8">
      <c r="A579" s="48"/>
      <c r="B579" s="48"/>
      <c r="C579" s="48"/>
      <c r="D579" s="48"/>
      <c r="E579" s="48"/>
      <c r="F579" s="48"/>
      <c r="G579" s="48"/>
      <c r="H579" s="48"/>
    </row>
    <row r="580" spans="1:8">
      <c r="A580" s="48"/>
      <c r="B580" s="48"/>
      <c r="C580" s="48"/>
      <c r="D580" s="48"/>
      <c r="E580" s="48"/>
      <c r="F580" s="48"/>
      <c r="G580" s="48"/>
      <c r="H580" s="48"/>
    </row>
    <row r="581" spans="1:8">
      <c r="A581" s="48"/>
      <c r="B581" s="48"/>
      <c r="C581" s="48"/>
      <c r="D581" s="48"/>
      <c r="E581" s="48"/>
      <c r="F581" s="48"/>
      <c r="G581" s="48"/>
      <c r="H581" s="48"/>
    </row>
    <row r="582" spans="1:8">
      <c r="A582" s="48"/>
      <c r="B582" s="48"/>
      <c r="C582" s="48"/>
      <c r="D582" s="48"/>
      <c r="E582" s="48"/>
      <c r="F582" s="48"/>
      <c r="G582" s="48"/>
      <c r="H582" s="48"/>
    </row>
    <row r="583" spans="1:8">
      <c r="A583" s="48"/>
      <c r="B583" s="48"/>
      <c r="C583" s="48"/>
      <c r="D583" s="48"/>
      <c r="E583" s="48"/>
      <c r="F583" s="48"/>
      <c r="G583" s="48"/>
      <c r="H583" s="48"/>
    </row>
    <row r="584" spans="1:8">
      <c r="A584" s="48"/>
      <c r="B584" s="48"/>
      <c r="C584" s="48"/>
      <c r="D584" s="48"/>
      <c r="E584" s="48"/>
      <c r="F584" s="48"/>
      <c r="G584" s="48"/>
      <c r="H584" s="48"/>
    </row>
    <row r="585" spans="1:8">
      <c r="A585" s="48"/>
      <c r="B585" s="48"/>
      <c r="C585" s="48"/>
      <c r="D585" s="48"/>
      <c r="E585" s="48"/>
      <c r="F585" s="48"/>
      <c r="G585" s="48"/>
      <c r="H585" s="48"/>
    </row>
    <row r="586" spans="1:8">
      <c r="A586" s="48"/>
      <c r="B586" s="48"/>
      <c r="C586" s="48"/>
      <c r="D586" s="48"/>
      <c r="E586" s="48"/>
      <c r="F586" s="48"/>
      <c r="G586" s="48"/>
      <c r="H586" s="48"/>
    </row>
    <row r="587" spans="1:8">
      <c r="A587" s="48"/>
      <c r="B587" s="48"/>
      <c r="C587" s="48"/>
      <c r="D587" s="48"/>
      <c r="E587" s="48"/>
      <c r="F587" s="48"/>
      <c r="G587" s="48"/>
      <c r="H587" s="48"/>
    </row>
    <row r="588" spans="1:8">
      <c r="A588" s="48"/>
      <c r="B588" s="48"/>
      <c r="C588" s="48"/>
      <c r="D588" s="48"/>
      <c r="E588" s="48"/>
      <c r="F588" s="48"/>
      <c r="G588" s="48"/>
      <c r="H588" s="48"/>
    </row>
    <row r="589" spans="1:8">
      <c r="A589" s="48"/>
      <c r="B589" s="48"/>
      <c r="C589" s="48"/>
      <c r="D589" s="48"/>
      <c r="E589" s="48"/>
      <c r="F589" s="48"/>
      <c r="G589" s="48"/>
      <c r="H589" s="48"/>
    </row>
    <row r="590" spans="1:8">
      <c r="A590" s="48"/>
      <c r="B590" s="48"/>
      <c r="C590" s="48"/>
      <c r="D590" s="48"/>
      <c r="E590" s="48"/>
      <c r="F590" s="48"/>
      <c r="G590" s="48"/>
      <c r="H590" s="48"/>
    </row>
    <row r="591" spans="1:8">
      <c r="A591" s="48"/>
      <c r="B591" s="48"/>
      <c r="C591" s="48"/>
      <c r="D591" s="48"/>
      <c r="E591" s="48"/>
      <c r="F591" s="48"/>
      <c r="G591" s="48"/>
      <c r="H591" s="48"/>
    </row>
    <row r="592" spans="1:8">
      <c r="A592" s="48"/>
      <c r="B592" s="48"/>
      <c r="C592" s="48"/>
      <c r="D592" s="48"/>
      <c r="E592" s="48"/>
      <c r="F592" s="48"/>
      <c r="G592" s="48"/>
      <c r="H592" s="48"/>
    </row>
    <row r="593" spans="1:8">
      <c r="A593" s="48"/>
      <c r="B593" s="48"/>
      <c r="C593" s="48"/>
      <c r="D593" s="48"/>
      <c r="E593" s="48"/>
      <c r="F593" s="48"/>
      <c r="G593" s="48"/>
      <c r="H593" s="48"/>
    </row>
    <row r="594" spans="1:8">
      <c r="A594" s="48"/>
      <c r="B594" s="48"/>
      <c r="C594" s="48"/>
      <c r="D594" s="48"/>
      <c r="E594" s="48"/>
      <c r="F594" s="48"/>
      <c r="G594" s="48"/>
      <c r="H594" s="48"/>
    </row>
    <row r="595" spans="1:8">
      <c r="A595" s="48"/>
      <c r="B595" s="48"/>
      <c r="C595" s="48"/>
      <c r="D595" s="48"/>
      <c r="E595" s="48"/>
      <c r="F595" s="48"/>
      <c r="G595" s="48"/>
      <c r="H595" s="48"/>
    </row>
    <row r="596" spans="1:8">
      <c r="A596" s="48"/>
      <c r="B596" s="48"/>
      <c r="C596" s="48"/>
      <c r="D596" s="48"/>
      <c r="E596" s="48"/>
      <c r="F596" s="48"/>
      <c r="G596" s="48"/>
      <c r="H596" s="48"/>
    </row>
    <row r="597" spans="1:8">
      <c r="A597" s="48"/>
      <c r="B597" s="48"/>
      <c r="C597" s="48"/>
      <c r="D597" s="48"/>
      <c r="E597" s="48"/>
      <c r="F597" s="48"/>
      <c r="G597" s="48"/>
      <c r="H597" s="48"/>
    </row>
    <row r="598" spans="1:8">
      <c r="A598" s="48"/>
      <c r="B598" s="48"/>
      <c r="C598" s="48"/>
      <c r="D598" s="48"/>
      <c r="E598" s="48"/>
      <c r="F598" s="48"/>
      <c r="G598" s="48"/>
      <c r="H598" s="48"/>
    </row>
    <row r="599" spans="1:8">
      <c r="A599" s="48"/>
      <c r="B599" s="48"/>
      <c r="C599" s="48"/>
      <c r="D599" s="48"/>
      <c r="E599" s="48"/>
      <c r="F599" s="48"/>
      <c r="G599" s="48"/>
      <c r="H599" s="48"/>
    </row>
    <row r="600" spans="1:8">
      <c r="A600" s="48"/>
      <c r="B600" s="48"/>
      <c r="C600" s="48"/>
      <c r="D600" s="48"/>
      <c r="E600" s="48"/>
      <c r="F600" s="48"/>
      <c r="G600" s="48"/>
      <c r="H600" s="48"/>
    </row>
    <row r="601" spans="1:8">
      <c r="A601" s="48"/>
      <c r="B601" s="48"/>
      <c r="C601" s="48"/>
      <c r="D601" s="48"/>
      <c r="E601" s="48"/>
      <c r="F601" s="48"/>
      <c r="G601" s="48"/>
      <c r="H601" s="48"/>
    </row>
    <row r="602" spans="1:8">
      <c r="A602" s="48"/>
      <c r="B602" s="48"/>
      <c r="C602" s="48"/>
      <c r="D602" s="48"/>
      <c r="E602" s="48"/>
      <c r="F602" s="48"/>
      <c r="G602" s="48"/>
      <c r="H602" s="48"/>
    </row>
    <row r="603" spans="1:8">
      <c r="A603" s="48"/>
      <c r="B603" s="48"/>
      <c r="C603" s="48"/>
      <c r="D603" s="48"/>
      <c r="E603" s="48"/>
      <c r="F603" s="48"/>
      <c r="G603" s="48"/>
      <c r="H603" s="48"/>
    </row>
    <row r="604" spans="1:8">
      <c r="A604" s="48"/>
      <c r="B604" s="48"/>
      <c r="C604" s="48"/>
      <c r="D604" s="48"/>
      <c r="E604" s="48"/>
      <c r="F604" s="48"/>
      <c r="G604" s="48"/>
      <c r="H604" s="48"/>
    </row>
    <row r="605" spans="1:8">
      <c r="A605" s="48"/>
      <c r="B605" s="48"/>
      <c r="C605" s="48"/>
      <c r="D605" s="48"/>
      <c r="E605" s="48"/>
      <c r="F605" s="48"/>
      <c r="G605" s="48"/>
      <c r="H605" s="48"/>
    </row>
    <row r="606" spans="1:8">
      <c r="A606" s="48"/>
      <c r="B606" s="48"/>
      <c r="C606" s="48"/>
      <c r="D606" s="48"/>
      <c r="E606" s="48"/>
      <c r="F606" s="48"/>
      <c r="G606" s="48"/>
      <c r="H606" s="48"/>
    </row>
    <row r="607" spans="1:8">
      <c r="A607" s="48"/>
      <c r="B607" s="48"/>
      <c r="C607" s="48"/>
      <c r="D607" s="48"/>
      <c r="E607" s="48"/>
      <c r="F607" s="48"/>
      <c r="G607" s="48"/>
      <c r="H607" s="48"/>
    </row>
    <row r="608" spans="1:8">
      <c r="A608" s="48"/>
      <c r="B608" s="48"/>
      <c r="C608" s="48"/>
      <c r="D608" s="48"/>
      <c r="E608" s="48"/>
      <c r="F608" s="48"/>
      <c r="G608" s="48"/>
      <c r="H608" s="48"/>
    </row>
    <row r="609" spans="1:8">
      <c r="A609" s="48"/>
      <c r="B609" s="48"/>
      <c r="C609" s="48"/>
      <c r="D609" s="48"/>
      <c r="E609" s="48"/>
      <c r="F609" s="48"/>
      <c r="G609" s="48"/>
      <c r="H609" s="48"/>
    </row>
    <row r="610" spans="1:8">
      <c r="A610" s="48"/>
      <c r="B610" s="48"/>
      <c r="C610" s="48"/>
      <c r="D610" s="48"/>
      <c r="E610" s="48"/>
      <c r="F610" s="48"/>
      <c r="G610" s="48"/>
      <c r="H610" s="48"/>
    </row>
    <row r="611" spans="1:8">
      <c r="A611" s="48"/>
      <c r="B611" s="48"/>
      <c r="C611" s="48"/>
      <c r="D611" s="48"/>
      <c r="E611" s="48"/>
      <c r="F611" s="48"/>
      <c r="G611" s="48"/>
      <c r="H611" s="48"/>
    </row>
    <row r="612" spans="1:8">
      <c r="A612" s="48"/>
      <c r="B612" s="48"/>
      <c r="C612" s="48"/>
      <c r="D612" s="48"/>
      <c r="E612" s="48"/>
      <c r="F612" s="48"/>
      <c r="G612" s="48"/>
      <c r="H612" s="48"/>
    </row>
    <row r="613" spans="1:8">
      <c r="A613" s="48"/>
      <c r="B613" s="48"/>
      <c r="C613" s="48"/>
      <c r="D613" s="48"/>
      <c r="E613" s="48"/>
      <c r="F613" s="48"/>
      <c r="G613" s="48"/>
      <c r="H613" s="48"/>
    </row>
    <row r="614" spans="1:8">
      <c r="A614" s="48"/>
      <c r="B614" s="48"/>
      <c r="C614" s="48"/>
      <c r="D614" s="48"/>
      <c r="E614" s="48"/>
      <c r="F614" s="48"/>
      <c r="G614" s="48"/>
      <c r="H614" s="48"/>
    </row>
    <row r="615" spans="1:8">
      <c r="A615" s="48"/>
      <c r="B615" s="48"/>
      <c r="C615" s="48"/>
      <c r="D615" s="48"/>
      <c r="E615" s="48"/>
      <c r="F615" s="48"/>
      <c r="G615" s="48"/>
      <c r="H615" s="48"/>
    </row>
    <row r="616" spans="1:8">
      <c r="A616" s="48"/>
      <c r="B616" s="48"/>
      <c r="C616" s="48"/>
      <c r="D616" s="48"/>
      <c r="E616" s="48"/>
      <c r="F616" s="48"/>
      <c r="G616" s="48"/>
      <c r="H616" s="48"/>
    </row>
    <row r="617" spans="1:8">
      <c r="A617" s="48"/>
      <c r="B617" s="48"/>
      <c r="C617" s="48"/>
      <c r="D617" s="48"/>
      <c r="E617" s="48"/>
      <c r="F617" s="48"/>
      <c r="G617" s="48"/>
      <c r="H617" s="48"/>
    </row>
    <row r="618" spans="1:8">
      <c r="A618" s="48"/>
      <c r="B618" s="48"/>
      <c r="C618" s="48"/>
      <c r="D618" s="48"/>
      <c r="E618" s="48"/>
      <c r="F618" s="48"/>
      <c r="G618" s="48"/>
      <c r="H618" s="48"/>
    </row>
    <row r="619" spans="1:8">
      <c r="A619" s="48"/>
      <c r="B619" s="48"/>
      <c r="C619" s="48"/>
      <c r="D619" s="48"/>
      <c r="E619" s="48"/>
      <c r="F619" s="48"/>
      <c r="G619" s="48"/>
      <c r="H619" s="48"/>
    </row>
    <row r="620" spans="1:8">
      <c r="A620" s="48"/>
      <c r="B620" s="48"/>
      <c r="C620" s="48"/>
      <c r="D620" s="48"/>
      <c r="E620" s="48"/>
      <c r="F620" s="48"/>
      <c r="G620" s="48"/>
      <c r="H620" s="48"/>
    </row>
    <row r="621" spans="1:8">
      <c r="A621" s="48"/>
      <c r="B621" s="48"/>
      <c r="C621" s="48"/>
      <c r="D621" s="48"/>
      <c r="E621" s="48"/>
      <c r="F621" s="48"/>
      <c r="G621" s="48"/>
      <c r="H621" s="48"/>
    </row>
    <row r="622" spans="1:8">
      <c r="A622" s="48"/>
      <c r="B622" s="48"/>
      <c r="C622" s="48"/>
      <c r="D622" s="48"/>
      <c r="E622" s="48"/>
      <c r="F622" s="48"/>
      <c r="G622" s="48"/>
      <c r="H622" s="48"/>
    </row>
    <row r="623" spans="1:8">
      <c r="A623" s="48"/>
      <c r="B623" s="48"/>
      <c r="C623" s="48"/>
      <c r="D623" s="48"/>
      <c r="E623" s="48"/>
      <c r="F623" s="48"/>
      <c r="G623" s="48"/>
      <c r="H623" s="48"/>
    </row>
    <row r="624" spans="1:8">
      <c r="A624" s="48"/>
      <c r="B624" s="48"/>
      <c r="C624" s="48"/>
      <c r="D624" s="48"/>
      <c r="E624" s="48"/>
      <c r="F624" s="48"/>
      <c r="G624" s="48"/>
      <c r="H624" s="48"/>
    </row>
    <row r="625" spans="1:8">
      <c r="A625" s="48"/>
      <c r="B625" s="48"/>
      <c r="C625" s="48"/>
      <c r="D625" s="48"/>
      <c r="E625" s="48"/>
      <c r="F625" s="48"/>
      <c r="G625" s="48"/>
      <c r="H625" s="48"/>
    </row>
    <row r="626" spans="1:8">
      <c r="A626" s="48"/>
      <c r="B626" s="48"/>
      <c r="C626" s="48"/>
      <c r="D626" s="48"/>
      <c r="E626" s="48"/>
      <c r="F626" s="48"/>
      <c r="G626" s="48"/>
      <c r="H626" s="48"/>
    </row>
    <row r="627" spans="1:8">
      <c r="A627" s="48"/>
      <c r="B627" s="48"/>
      <c r="C627" s="48"/>
      <c r="D627" s="48"/>
      <c r="E627" s="48"/>
      <c r="F627" s="48"/>
      <c r="G627" s="48"/>
      <c r="H627" s="48"/>
    </row>
    <row r="628" spans="1:8">
      <c r="A628" s="48"/>
      <c r="B628" s="48"/>
      <c r="C628" s="48"/>
      <c r="D628" s="48"/>
      <c r="E628" s="48"/>
      <c r="F628" s="48"/>
      <c r="G628" s="48"/>
      <c r="H628" s="48"/>
    </row>
    <row r="629" spans="1:8">
      <c r="A629" s="48"/>
      <c r="B629" s="48"/>
      <c r="C629" s="48"/>
      <c r="D629" s="48"/>
      <c r="E629" s="48"/>
      <c r="F629" s="48"/>
      <c r="G629" s="48"/>
      <c r="H629" s="48"/>
    </row>
    <row r="630" spans="1:8">
      <c r="A630" s="48"/>
      <c r="B630" s="48"/>
      <c r="C630" s="48"/>
      <c r="D630" s="48"/>
      <c r="E630" s="48"/>
      <c r="F630" s="48"/>
      <c r="G630" s="48"/>
      <c r="H630" s="48"/>
    </row>
    <row r="631" spans="1:8">
      <c r="A631" s="48"/>
      <c r="B631" s="48"/>
      <c r="C631" s="48"/>
      <c r="D631" s="48"/>
      <c r="E631" s="48"/>
      <c r="F631" s="48"/>
      <c r="G631" s="48"/>
      <c r="H631" s="48"/>
    </row>
    <row r="632" spans="1:8">
      <c r="A632" s="48"/>
      <c r="B632" s="48"/>
      <c r="C632" s="48"/>
      <c r="D632" s="48"/>
      <c r="E632" s="48"/>
      <c r="F632" s="48"/>
      <c r="G632" s="48"/>
      <c r="H632" s="48"/>
    </row>
    <row r="633" spans="1:8">
      <c r="A633" s="48"/>
      <c r="B633" s="48"/>
      <c r="C633" s="48"/>
      <c r="D633" s="48"/>
      <c r="E633" s="48"/>
      <c r="F633" s="48"/>
      <c r="G633" s="48"/>
      <c r="H633" s="48"/>
    </row>
    <row r="634" spans="1:8">
      <c r="A634" s="48"/>
      <c r="B634" s="48"/>
      <c r="C634" s="48"/>
      <c r="D634" s="48"/>
      <c r="E634" s="48"/>
      <c r="F634" s="48"/>
      <c r="G634" s="48"/>
      <c r="H634" s="48"/>
    </row>
    <row r="635" spans="1:8">
      <c r="A635" s="48"/>
      <c r="B635" s="48"/>
      <c r="C635" s="48"/>
      <c r="D635" s="48"/>
      <c r="E635" s="48"/>
      <c r="F635" s="48"/>
      <c r="G635" s="48"/>
      <c r="H635" s="48"/>
    </row>
    <row r="636" spans="1:8">
      <c r="A636" s="48"/>
      <c r="B636" s="48"/>
      <c r="C636" s="48"/>
      <c r="D636" s="48"/>
      <c r="E636" s="48"/>
      <c r="F636" s="48"/>
      <c r="G636" s="48"/>
      <c r="H636" s="48"/>
    </row>
    <row r="637" spans="1:8">
      <c r="A637" s="48"/>
      <c r="B637" s="48"/>
      <c r="C637" s="48"/>
      <c r="D637" s="48"/>
      <c r="E637" s="48"/>
      <c r="F637" s="48"/>
      <c r="G637" s="48"/>
      <c r="H637" s="48"/>
    </row>
    <row r="638" spans="1:8">
      <c r="A638" s="48"/>
      <c r="B638" s="48"/>
      <c r="C638" s="48"/>
      <c r="D638" s="48"/>
      <c r="E638" s="48"/>
      <c r="F638" s="48"/>
      <c r="G638" s="48"/>
      <c r="H638" s="48"/>
    </row>
    <row r="639" spans="1:8">
      <c r="A639" s="48"/>
      <c r="B639" s="48"/>
      <c r="C639" s="48"/>
      <c r="D639" s="48"/>
      <c r="E639" s="48"/>
      <c r="F639" s="48"/>
      <c r="G639" s="48"/>
      <c r="H639" s="48"/>
    </row>
    <row r="640" spans="1:8">
      <c r="A640" s="48"/>
      <c r="B640" s="48"/>
      <c r="C640" s="48"/>
      <c r="D640" s="48"/>
      <c r="E640" s="48"/>
      <c r="F640" s="48"/>
      <c r="G640" s="48"/>
      <c r="H640" s="48"/>
    </row>
    <row r="641" spans="1:8">
      <c r="A641" s="48"/>
      <c r="B641" s="48"/>
      <c r="C641" s="48"/>
      <c r="D641" s="48"/>
      <c r="E641" s="48"/>
      <c r="F641" s="48"/>
      <c r="G641" s="48"/>
      <c r="H641" s="48"/>
    </row>
    <row r="642" spans="1:8">
      <c r="A642" s="48"/>
      <c r="B642" s="48"/>
      <c r="C642" s="48"/>
      <c r="D642" s="48"/>
      <c r="E642" s="48"/>
      <c r="F642" s="48"/>
      <c r="G642" s="48"/>
      <c r="H642" s="48"/>
    </row>
    <row r="643" spans="1:8">
      <c r="A643" s="48"/>
      <c r="B643" s="48"/>
      <c r="C643" s="48"/>
      <c r="D643" s="48"/>
      <c r="E643" s="48"/>
      <c r="F643" s="48"/>
      <c r="G643" s="48"/>
      <c r="H643" s="48"/>
    </row>
    <row r="644" spans="1:8">
      <c r="A644" s="48"/>
      <c r="B644" s="48"/>
      <c r="C644" s="48"/>
      <c r="D644" s="48"/>
      <c r="E644" s="48"/>
      <c r="F644" s="48"/>
      <c r="G644" s="48"/>
      <c r="H644" s="48"/>
    </row>
    <row r="645" spans="1:8">
      <c r="A645" s="48"/>
      <c r="B645" s="48"/>
      <c r="C645" s="48"/>
      <c r="D645" s="48"/>
      <c r="E645" s="48"/>
      <c r="F645" s="48"/>
      <c r="G645" s="48"/>
      <c r="H645" s="48"/>
    </row>
    <row r="646" spans="1:8">
      <c r="A646" s="48"/>
      <c r="B646" s="48"/>
      <c r="C646" s="48"/>
      <c r="D646" s="48"/>
      <c r="E646" s="48"/>
      <c r="F646" s="48"/>
      <c r="G646" s="48"/>
      <c r="H646" s="48"/>
    </row>
    <row r="647" spans="1:8">
      <c r="A647" s="48"/>
      <c r="B647" s="48"/>
      <c r="C647" s="48"/>
      <c r="D647" s="48"/>
      <c r="E647" s="48"/>
      <c r="F647" s="48"/>
      <c r="G647" s="48"/>
      <c r="H647" s="48"/>
    </row>
    <row r="648" spans="1:8">
      <c r="A648" s="48"/>
      <c r="B648" s="48"/>
      <c r="C648" s="48"/>
      <c r="D648" s="48"/>
      <c r="E648" s="48"/>
      <c r="F648" s="48"/>
      <c r="G648" s="48"/>
      <c r="H648" s="48"/>
    </row>
    <row r="649" spans="1:8">
      <c r="A649" s="48"/>
      <c r="B649" s="48"/>
      <c r="C649" s="48"/>
      <c r="D649" s="48"/>
      <c r="E649" s="48"/>
      <c r="F649" s="48"/>
      <c r="G649" s="48"/>
      <c r="H649" s="48"/>
    </row>
    <row r="650" spans="1:8">
      <c r="A650" s="48"/>
      <c r="B650" s="48"/>
      <c r="C650" s="48"/>
      <c r="D650" s="48"/>
      <c r="E650" s="48"/>
      <c r="F650" s="48"/>
      <c r="G650" s="48"/>
      <c r="H650" s="48"/>
    </row>
    <row r="651" spans="1:8">
      <c r="A651" s="48"/>
      <c r="B651" s="48"/>
      <c r="C651" s="48"/>
      <c r="D651" s="48"/>
      <c r="E651" s="48"/>
      <c r="F651" s="48"/>
      <c r="G651" s="48"/>
      <c r="H651" s="48"/>
    </row>
    <row r="652" spans="1:8">
      <c r="A652" s="48"/>
      <c r="B652" s="48"/>
      <c r="C652" s="48"/>
      <c r="D652" s="48"/>
      <c r="E652" s="48"/>
      <c r="F652" s="48"/>
      <c r="G652" s="48"/>
      <c r="H652" s="48"/>
    </row>
    <row r="653" spans="1:8">
      <c r="A653" s="48"/>
      <c r="B653" s="48"/>
      <c r="C653" s="48"/>
      <c r="D653" s="48"/>
      <c r="E653" s="48"/>
      <c r="F653" s="48"/>
      <c r="G653" s="48"/>
      <c r="H653" s="48"/>
    </row>
    <row r="654" spans="1:8">
      <c r="A654" s="48"/>
      <c r="B654" s="48"/>
      <c r="C654" s="48"/>
      <c r="D654" s="48"/>
      <c r="E654" s="48"/>
      <c r="F654" s="48"/>
      <c r="G654" s="48"/>
      <c r="H654" s="48"/>
    </row>
    <row r="655" spans="1:8">
      <c r="A655" s="48"/>
      <c r="B655" s="48"/>
      <c r="C655" s="48"/>
      <c r="D655" s="48"/>
      <c r="E655" s="48"/>
      <c r="F655" s="48"/>
      <c r="G655" s="48"/>
      <c r="H655" s="48"/>
    </row>
    <row r="656" spans="1:8">
      <c r="A656" s="48"/>
      <c r="B656" s="48"/>
      <c r="C656" s="48"/>
      <c r="D656" s="48"/>
      <c r="E656" s="48"/>
      <c r="F656" s="48"/>
      <c r="G656" s="48"/>
      <c r="H656" s="48"/>
    </row>
    <row r="657" spans="1:8">
      <c r="A657" s="48"/>
      <c r="B657" s="48"/>
      <c r="C657" s="48"/>
      <c r="D657" s="48"/>
      <c r="E657" s="48"/>
      <c r="F657" s="48"/>
      <c r="G657" s="48"/>
      <c r="H657" s="48"/>
    </row>
    <row r="658" spans="1:8">
      <c r="A658" s="48"/>
      <c r="B658" s="48"/>
      <c r="C658" s="48"/>
      <c r="D658" s="48"/>
      <c r="E658" s="48"/>
      <c r="F658" s="48"/>
      <c r="G658" s="48"/>
      <c r="H658" s="48"/>
    </row>
    <row r="659" spans="1:8">
      <c r="A659" s="48"/>
      <c r="B659" s="48"/>
      <c r="C659" s="48"/>
      <c r="D659" s="48"/>
      <c r="E659" s="48"/>
      <c r="F659" s="48"/>
      <c r="G659" s="48"/>
      <c r="H659" s="48"/>
    </row>
    <row r="660" spans="1:8">
      <c r="A660" s="48"/>
      <c r="B660" s="48"/>
      <c r="C660" s="48"/>
      <c r="D660" s="48"/>
      <c r="E660" s="48"/>
      <c r="F660" s="48"/>
      <c r="G660" s="48"/>
      <c r="H660" s="48"/>
    </row>
    <row r="661" spans="1:8">
      <c r="A661" s="48"/>
      <c r="B661" s="48"/>
      <c r="C661" s="48"/>
      <c r="D661" s="48"/>
      <c r="E661" s="48"/>
      <c r="F661" s="48"/>
      <c r="G661" s="48"/>
      <c r="H661" s="48"/>
    </row>
    <row r="662" spans="1:8">
      <c r="A662" s="48"/>
      <c r="B662" s="48"/>
      <c r="C662" s="48"/>
      <c r="D662" s="48"/>
      <c r="E662" s="48"/>
      <c r="F662" s="48"/>
      <c r="G662" s="48"/>
      <c r="H662" s="48"/>
    </row>
  </sheetData>
  <phoneticPr fontId="0" type="noConversion"/>
  <printOptions gridLines="1"/>
  <pageMargins left="0.75" right="0.75" top="1" bottom="1" header="0.5" footer="0.5"/>
  <pageSetup scale="80" orientation="portrait" horizontalDpi="300" verticalDpi="300" r:id="rId1"/>
  <headerFooter alignWithMargins="0"/>
  <rowBreaks count="8" manualBreakCount="8">
    <brk id="44" max="7" man="1"/>
    <brk id="75" max="7" man="1"/>
    <brk id="126" max="7" man="1"/>
    <brk id="158" max="7" man="1"/>
    <brk id="193" max="7" man="1"/>
    <brk id="244" max="7" man="1"/>
    <brk id="296" max="7" man="1"/>
    <brk id="360" max="7"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85"/>
  <sheetViews>
    <sheetView topLeftCell="A217" zoomScale="130" zoomScaleNormal="130" workbookViewId="0">
      <selection activeCell="E117" sqref="E117"/>
    </sheetView>
  </sheetViews>
  <sheetFormatPr defaultRowHeight="12.75"/>
  <cols>
    <col min="1" max="1" width="47" style="17" customWidth="1"/>
    <col min="2" max="10" width="9.7109375" style="17" customWidth="1"/>
    <col min="11" max="11" width="13.5703125" style="17" customWidth="1"/>
    <col min="12" max="12" width="12" style="17" customWidth="1"/>
    <col min="13" max="13" width="12.140625" style="17" customWidth="1"/>
    <col min="14" max="15" width="9.140625" style="17"/>
    <col min="16" max="16" width="11" style="17" customWidth="1"/>
    <col min="17" max="16384" width="9.140625" style="17"/>
  </cols>
  <sheetData>
    <row r="1" spans="1:19">
      <c r="A1" s="175" t="str">
        <f>Data!A1</f>
        <v>Financial Statement Analysis Package (FSAP): Version 9.0</v>
      </c>
      <c r="B1" s="176"/>
      <c r="C1" s="176"/>
      <c r="D1" s="176"/>
      <c r="E1" s="176"/>
      <c r="F1" s="176"/>
      <c r="G1" s="176"/>
      <c r="H1" s="176"/>
      <c r="I1" s="176"/>
      <c r="J1" s="177"/>
      <c r="L1" s="5"/>
      <c r="M1" s="6"/>
      <c r="N1" s="6"/>
      <c r="O1" s="6"/>
      <c r="P1" s="7"/>
    </row>
    <row r="2" spans="1:19">
      <c r="A2" s="9" t="str">
        <f>Data!A2</f>
        <v>Financial Reporting, Financial Statement Analysis, and Valuation: A Strategic Perspective, 9th Edition</v>
      </c>
      <c r="B2" s="178"/>
      <c r="C2" s="178"/>
      <c r="D2" s="178"/>
      <c r="E2" s="178"/>
      <c r="F2" s="178"/>
      <c r="G2" s="178"/>
      <c r="H2" s="178"/>
      <c r="I2" s="178"/>
      <c r="J2" s="74"/>
      <c r="L2" s="9" t="s">
        <v>409</v>
      </c>
      <c r="M2" s="10"/>
      <c r="N2" s="10"/>
      <c r="O2" s="10"/>
      <c r="P2" s="11"/>
    </row>
    <row r="3" spans="1:19" ht="13.5" thickBot="1">
      <c r="A3" s="12" t="s">
        <v>370</v>
      </c>
      <c r="B3" s="124"/>
      <c r="C3" s="124"/>
      <c r="D3" s="124"/>
      <c r="E3" s="124"/>
      <c r="F3" s="124"/>
      <c r="G3" s="124"/>
      <c r="H3" s="124"/>
      <c r="I3" s="124"/>
      <c r="J3" s="125"/>
      <c r="L3" s="15"/>
      <c r="M3" s="13"/>
      <c r="N3" s="13"/>
      <c r="O3" s="13"/>
      <c r="P3" s="14"/>
    </row>
    <row r="4" spans="1:19">
      <c r="L4" s="28" t="s">
        <v>543</v>
      </c>
      <c r="M4" s="28"/>
      <c r="N4" s="28"/>
      <c r="O4" s="28"/>
      <c r="P4" s="28"/>
      <c r="Q4" s="28"/>
      <c r="R4" s="486"/>
      <c r="S4" s="487"/>
    </row>
    <row r="6" spans="1:19">
      <c r="A6" s="18" t="s">
        <v>530</v>
      </c>
      <c r="L6" s="109" t="s">
        <v>242</v>
      </c>
    </row>
    <row r="7" spans="1:19">
      <c r="L7" s="179" t="s">
        <v>1</v>
      </c>
    </row>
    <row r="9" spans="1:19">
      <c r="A9" s="180" t="s">
        <v>469</v>
      </c>
      <c r="B9" s="181" t="s">
        <v>27</v>
      </c>
      <c r="C9" s="182"/>
      <c r="D9" s="182"/>
      <c r="E9" s="183"/>
      <c r="F9" s="184"/>
      <c r="G9" s="184"/>
      <c r="H9" s="184"/>
      <c r="I9" s="184"/>
      <c r="J9" s="185"/>
    </row>
    <row r="10" spans="1:19">
      <c r="A10" s="186" t="str">
        <f>Data!A9</f>
        <v>Analyst Name:</v>
      </c>
      <c r="B10" s="187" t="str">
        <f>Data!B9</f>
        <v>Wahlen, Baginski &amp; Bradshaw</v>
      </c>
      <c r="C10" s="188"/>
      <c r="D10" s="189"/>
      <c r="E10" s="190"/>
      <c r="F10" s="190"/>
      <c r="G10" s="190"/>
      <c r="H10" s="190"/>
      <c r="I10" s="190"/>
      <c r="J10" s="191"/>
    </row>
    <row r="11" spans="1:19">
      <c r="A11" s="186" t="str">
        <f>Data!A10</f>
        <v>Company Name:</v>
      </c>
      <c r="B11" s="187" t="str">
        <f>Data!B10</f>
        <v>Starbucks</v>
      </c>
      <c r="C11" s="184"/>
      <c r="D11" s="184"/>
      <c r="E11" s="190"/>
      <c r="F11" s="190"/>
      <c r="G11" s="190"/>
      <c r="H11" s="190"/>
      <c r="I11" s="190"/>
      <c r="J11" s="191"/>
    </row>
    <row r="12" spans="1:19">
      <c r="A12" s="192"/>
      <c r="B12" s="192"/>
      <c r="C12" s="192"/>
      <c r="D12" s="192"/>
      <c r="E12" s="193"/>
      <c r="F12" s="193"/>
      <c r="G12" s="193"/>
      <c r="H12" s="193"/>
      <c r="I12" s="193"/>
      <c r="J12" s="193"/>
    </row>
    <row r="13" spans="1:19">
      <c r="A13" s="192"/>
      <c r="B13" s="194" t="s">
        <v>300</v>
      </c>
      <c r="C13" s="192"/>
      <c r="D13" s="192"/>
      <c r="E13" s="195" t="s">
        <v>300</v>
      </c>
      <c r="F13" s="193"/>
      <c r="G13" s="193"/>
      <c r="H13" s="193"/>
      <c r="I13" s="193"/>
      <c r="J13" s="193"/>
    </row>
    <row r="14" spans="1:19">
      <c r="A14" s="192"/>
      <c r="B14" s="194" t="s">
        <v>470</v>
      </c>
      <c r="C14" s="192"/>
      <c r="D14" s="192"/>
      <c r="E14" s="196" t="s">
        <v>471</v>
      </c>
      <c r="F14" s="193"/>
      <c r="G14" s="193"/>
      <c r="H14" s="193"/>
      <c r="I14" s="193"/>
      <c r="J14" s="197" t="s">
        <v>23</v>
      </c>
      <c r="L14" s="109" t="s">
        <v>244</v>
      </c>
    </row>
    <row r="15" spans="1:19">
      <c r="A15" s="192"/>
      <c r="B15" s="192" t="s">
        <v>25</v>
      </c>
      <c r="C15" s="192"/>
      <c r="D15" s="192"/>
      <c r="E15" s="198" t="s">
        <v>473</v>
      </c>
      <c r="F15" s="193"/>
      <c r="G15" s="193"/>
      <c r="H15" s="193"/>
      <c r="I15" s="199" t="s">
        <v>24</v>
      </c>
      <c r="J15" s="200">
        <f>Valuation!$F$29</f>
        <v>0.03</v>
      </c>
      <c r="L15" s="179" t="s">
        <v>0</v>
      </c>
    </row>
    <row r="16" spans="1:19">
      <c r="A16" s="192"/>
      <c r="B16" s="192" t="s">
        <v>26</v>
      </c>
      <c r="C16" s="192"/>
      <c r="D16" s="192"/>
      <c r="E16" s="198" t="s">
        <v>475</v>
      </c>
      <c r="F16" s="193"/>
      <c r="G16" s="193"/>
      <c r="H16" s="193"/>
      <c r="I16" s="199" t="s">
        <v>476</v>
      </c>
      <c r="J16" s="201">
        <f>1+$J$15</f>
        <v>1.03</v>
      </c>
    </row>
    <row r="17" spans="1:12" ht="13.5" thickBot="1">
      <c r="A17" s="202"/>
      <c r="B17" s="203"/>
      <c r="C17" s="204"/>
      <c r="D17" s="204"/>
      <c r="E17" s="205"/>
      <c r="F17" s="205"/>
      <c r="G17" s="205"/>
      <c r="H17" s="205"/>
      <c r="I17" s="205"/>
      <c r="J17" s="205"/>
    </row>
    <row r="18" spans="1:12" ht="13.5" thickTop="1">
      <c r="A18" s="202"/>
      <c r="B18" s="206" t="s">
        <v>477</v>
      </c>
      <c r="C18" s="207"/>
      <c r="D18" s="207"/>
      <c r="E18" s="208" t="s">
        <v>478</v>
      </c>
      <c r="F18" s="209"/>
      <c r="G18" s="209"/>
      <c r="H18" s="209"/>
      <c r="I18" s="209"/>
      <c r="J18" s="208"/>
      <c r="L18" s="109" t="s">
        <v>242</v>
      </c>
    </row>
    <row r="19" spans="1:12">
      <c r="A19" s="210" t="s">
        <v>18</v>
      </c>
      <c r="B19" s="211">
        <f>Data!E11</f>
        <v>2013</v>
      </c>
      <c r="C19" s="211">
        <f>Data!F11</f>
        <v>2014</v>
      </c>
      <c r="D19" s="211">
        <f>Data!G11</f>
        <v>2015</v>
      </c>
      <c r="E19" s="212" t="s">
        <v>479</v>
      </c>
      <c r="F19" s="212" t="s">
        <v>480</v>
      </c>
      <c r="G19" s="212" t="s">
        <v>481</v>
      </c>
      <c r="H19" s="212" t="s">
        <v>482</v>
      </c>
      <c r="I19" s="212" t="s">
        <v>483</v>
      </c>
      <c r="J19" s="212" t="s">
        <v>484</v>
      </c>
      <c r="L19" s="179" t="s">
        <v>1</v>
      </c>
    </row>
    <row r="20" spans="1:12">
      <c r="A20" s="213" t="s">
        <v>485</v>
      </c>
      <c r="B20" s="214"/>
      <c r="C20" s="214"/>
      <c r="D20" s="214"/>
      <c r="E20" s="52"/>
      <c r="F20" s="52"/>
      <c r="G20" s="52"/>
      <c r="H20" s="52"/>
      <c r="I20" s="52"/>
      <c r="J20" s="52"/>
    </row>
    <row r="21" spans="1:12">
      <c r="A21" s="210" t="str">
        <f>Data!A65</f>
        <v>Revenues</v>
      </c>
      <c r="B21" s="710">
        <f>Data!E65</f>
        <v>14866.8</v>
      </c>
      <c r="C21" s="710">
        <f>Data!F65</f>
        <v>16447.8</v>
      </c>
      <c r="D21" s="710">
        <f>Data!G65</f>
        <v>19162.7</v>
      </c>
      <c r="E21" s="727">
        <f>'Forecast Development'!E25</f>
        <v>21678.346433784973</v>
      </c>
      <c r="F21" s="727">
        <f>'Forecast Development'!F25</f>
        <v>23670.508027877069</v>
      </c>
      <c r="G21" s="727">
        <f>'Forecast Development'!G25</f>
        <v>26294.166701137743</v>
      </c>
      <c r="H21" s="727">
        <f>'Forecast Development'!H25</f>
        <v>29159.361158630378</v>
      </c>
      <c r="I21" s="727">
        <f>'Forecast Development'!I25</f>
        <v>32286.725920330729</v>
      </c>
      <c r="J21" s="728">
        <f>I21*$J$16</f>
        <v>33255.327697940651</v>
      </c>
      <c r="L21" s="109" t="s">
        <v>2</v>
      </c>
    </row>
    <row r="22" spans="1:12">
      <c r="A22" s="215" t="s">
        <v>486</v>
      </c>
      <c r="B22" s="216">
        <f>B21/B$21</f>
        <v>1</v>
      </c>
      <c r="C22" s="216">
        <f>C21/C$21</f>
        <v>1</v>
      </c>
      <c r="D22" s="216">
        <f>D21/D$21</f>
        <v>1</v>
      </c>
      <c r="E22" s="217">
        <f>E21/D21-1</f>
        <v>0.13127828718212831</v>
      </c>
      <c r="F22" s="217">
        <f>F21/E21-1</f>
        <v>9.1896381496486379E-2</v>
      </c>
      <c r="G22" s="217">
        <f>G21/F21-1</f>
        <v>0.11084082649053228</v>
      </c>
      <c r="H22" s="217">
        <f>H21/G21-1</f>
        <v>0.10896692373098316</v>
      </c>
      <c r="I22" s="217">
        <f>I21/H21-1</f>
        <v>0.10725079828351225</v>
      </c>
      <c r="J22" s="218"/>
      <c r="L22" s="179" t="s">
        <v>3</v>
      </c>
    </row>
    <row r="23" spans="1:12">
      <c r="A23" s="215" t="s">
        <v>487</v>
      </c>
      <c r="B23" s="216"/>
      <c r="C23" s="216">
        <f>IF(ISERROR(C21/B21-1),"",C21/B21-1)</f>
        <v>0.10634433771894414</v>
      </c>
      <c r="D23" s="216">
        <f>IF(ISERROR(D21/C21-1),"",D21/C21-1)</f>
        <v>0.16506158878391042</v>
      </c>
      <c r="E23" s="219" t="s">
        <v>119</v>
      </c>
      <c r="F23" s="220"/>
      <c r="G23" s="220"/>
      <c r="H23" s="220"/>
      <c r="I23" s="220"/>
      <c r="J23" s="218"/>
    </row>
    <row r="24" spans="1:12">
      <c r="A24" s="210" t="str">
        <f>Data!A66</f>
        <v>&lt;Cost of sales and occupancy expense&gt;</v>
      </c>
      <c r="B24" s="710">
        <f>Data!E66</f>
        <v>-6382.3</v>
      </c>
      <c r="C24" s="710">
        <f>Data!F66</f>
        <v>-6858.8</v>
      </c>
      <c r="D24" s="710">
        <f>Data!G66</f>
        <v>-7787.5</v>
      </c>
      <c r="E24" s="727">
        <f>-'Forecast Development'!E264</f>
        <v>-8653.4939004379103</v>
      </c>
      <c r="F24" s="727">
        <f>-'Forecast Development'!F264</f>
        <v>-9390.3550517700187</v>
      </c>
      <c r="G24" s="727">
        <f>-'Forecast Development'!G264</f>
        <v>-10336.688038348537</v>
      </c>
      <c r="H24" s="727">
        <f>-'Forecast Development'!H264</f>
        <v>-11358.676072468095</v>
      </c>
      <c r="I24" s="727">
        <f>-'Forecast Development'!I264</f>
        <v>-12461.948291653714</v>
      </c>
      <c r="J24" s="728">
        <f>I24*$J$16</f>
        <v>-12835.806740403326</v>
      </c>
    </row>
    <row r="25" spans="1:12">
      <c r="A25" s="215" t="s">
        <v>486</v>
      </c>
      <c r="B25" s="216">
        <f>B24/B$21</f>
        <v>-0.42929884036914473</v>
      </c>
      <c r="C25" s="216">
        <f>C24/C$21</f>
        <v>-0.41700409781247344</v>
      </c>
      <c r="D25" s="216">
        <f>D24/D$21</f>
        <v>-0.40638845256670508</v>
      </c>
      <c r="E25" s="217">
        <f>E24/E21</f>
        <v>-0.39917684344003895</v>
      </c>
      <c r="F25" s="217">
        <f t="shared" ref="F25:I25" si="0">F24/F21</f>
        <v>-0.3967111749655256</v>
      </c>
      <c r="G25" s="217">
        <f t="shared" si="0"/>
        <v>-0.39311715620564885</v>
      </c>
      <c r="H25" s="217">
        <f t="shared" si="0"/>
        <v>-0.38953789181716131</v>
      </c>
      <c r="I25" s="217">
        <f t="shared" si="0"/>
        <v>-0.38597745471015726</v>
      </c>
      <c r="J25" s="218"/>
    </row>
    <row r="26" spans="1:12">
      <c r="A26" s="215" t="s">
        <v>487</v>
      </c>
      <c r="B26" s="216"/>
      <c r="C26" s="216">
        <f>IF(ISERROR(C24/B24-1),"",C24/B24-1)</f>
        <v>7.4659605471381729E-2</v>
      </c>
      <c r="D26" s="216">
        <f>IF(ISERROR(D24/C24-1),"",D24/C24-1)</f>
        <v>0.13540269434886576</v>
      </c>
      <c r="E26" s="219" t="s">
        <v>855</v>
      </c>
      <c r="F26" s="220"/>
      <c r="G26" s="220"/>
      <c r="H26" s="220"/>
      <c r="I26" s="220"/>
      <c r="J26" s="218"/>
    </row>
    <row r="27" spans="1:12">
      <c r="A27" s="210" t="str">
        <f>Data!A67</f>
        <v xml:space="preserve">  Gross Profit</v>
      </c>
      <c r="B27" s="713">
        <f>B21+B24</f>
        <v>8484.5</v>
      </c>
      <c r="C27" s="713">
        <f t="shared" ref="C27:J27" si="1">C21+C24</f>
        <v>9589</v>
      </c>
      <c r="D27" s="713">
        <f t="shared" si="1"/>
        <v>11375.2</v>
      </c>
      <c r="E27" s="729">
        <f t="shared" si="1"/>
        <v>13024.852533347062</v>
      </c>
      <c r="F27" s="729">
        <f t="shared" si="1"/>
        <v>14280.152976107051</v>
      </c>
      <c r="G27" s="729">
        <f t="shared" si="1"/>
        <v>15957.478662789206</v>
      </c>
      <c r="H27" s="729">
        <f t="shared" si="1"/>
        <v>17800.685086162281</v>
      </c>
      <c r="I27" s="729">
        <f t="shared" si="1"/>
        <v>19824.777628677017</v>
      </c>
      <c r="J27" s="729">
        <f t="shared" si="1"/>
        <v>20419.520957537323</v>
      </c>
    </row>
    <row r="28" spans="1:12">
      <c r="A28" s="215" t="s">
        <v>486</v>
      </c>
      <c r="B28" s="216">
        <f>B27/B$21</f>
        <v>0.57070115963085533</v>
      </c>
      <c r="C28" s="216">
        <f>C27/C$21</f>
        <v>0.58299590218752662</v>
      </c>
      <c r="D28" s="216">
        <f>D27/D$21</f>
        <v>0.59361154743329492</v>
      </c>
      <c r="E28" s="216">
        <f t="shared" ref="E28:J28" si="2">E27/E$21</f>
        <v>0.6008231565599611</v>
      </c>
      <c r="F28" s="216">
        <f t="shared" si="2"/>
        <v>0.60328882503447434</v>
      </c>
      <c r="G28" s="216">
        <f t="shared" si="2"/>
        <v>0.60688284379435109</v>
      </c>
      <c r="H28" s="216">
        <f t="shared" si="2"/>
        <v>0.61046210818283864</v>
      </c>
      <c r="I28" s="216">
        <f t="shared" si="2"/>
        <v>0.61402254528984279</v>
      </c>
      <c r="J28" s="216">
        <f t="shared" si="2"/>
        <v>0.61402254528984268</v>
      </c>
    </row>
    <row r="29" spans="1:12">
      <c r="A29" s="215" t="s">
        <v>487</v>
      </c>
      <c r="B29" s="216"/>
      <c r="C29" s="216">
        <f t="shared" ref="C29:I29" si="3">IF(ISERROR(C27/B27-1),"",C27/B27-1)</f>
        <v>0.13017856090517999</v>
      </c>
      <c r="D29" s="216">
        <f t="shared" si="3"/>
        <v>0.18627594118260515</v>
      </c>
      <c r="E29" s="216">
        <f t="shared" si="3"/>
        <v>0.14502184870130308</v>
      </c>
      <c r="F29" s="216">
        <f t="shared" si="3"/>
        <v>9.6377324775546391E-2</v>
      </c>
      <c r="G29" s="216">
        <f t="shared" si="3"/>
        <v>0.11745852369288934</v>
      </c>
      <c r="H29" s="216">
        <f t="shared" si="3"/>
        <v>0.11550737195539518</v>
      </c>
      <c r="I29" s="216">
        <f t="shared" si="3"/>
        <v>0.11370868776776488</v>
      </c>
      <c r="J29" s="216"/>
    </row>
    <row r="30" spans="1:12">
      <c r="A30" s="222"/>
      <c r="B30" s="216"/>
      <c r="C30" s="216"/>
      <c r="D30" s="216"/>
      <c r="E30" s="221"/>
      <c r="F30" s="221"/>
      <c r="G30" s="221"/>
      <c r="H30" s="221"/>
      <c r="I30" s="221"/>
      <c r="J30" s="221"/>
    </row>
    <row r="31" spans="1:12">
      <c r="A31" s="210" t="str">
        <f>Data!A68</f>
        <v>&lt;Store Operating Expenses&gt;</v>
      </c>
      <c r="B31" s="710">
        <f>Data!E68</f>
        <v>-4286.1000000000004</v>
      </c>
      <c r="C31" s="710">
        <f>Data!F68</f>
        <v>-4638.2</v>
      </c>
      <c r="D31" s="710">
        <f>Data!G68</f>
        <v>-5411.1</v>
      </c>
      <c r="E31" s="727">
        <f>'Forecast Development'!E32*E32</f>
        <v>-5997.2468275238953</v>
      </c>
      <c r="F31" s="727">
        <f>'Forecast Development'!F32*F32</f>
        <v>-6497.615208112632</v>
      </c>
      <c r="G31" s="727">
        <f>'Forecast Development'!G32*G32</f>
        <v>-7162.827107916818</v>
      </c>
      <c r="H31" s="727">
        <f>'Forecast Development'!H32*H32</f>
        <v>-7883.635190699255</v>
      </c>
      <c r="I31" s="727">
        <f>'Forecast Development'!I32*I32</f>
        <v>-8664.2240597098698</v>
      </c>
      <c r="J31" s="728">
        <f>I31*$J$16</f>
        <v>-8924.1507815011664</v>
      </c>
    </row>
    <row r="32" spans="1:12">
      <c r="A32" s="215" t="s">
        <v>486</v>
      </c>
      <c r="B32" s="216">
        <f>B31/B$21</f>
        <v>-0.28830010493179437</v>
      </c>
      <c r="C32" s="216">
        <f>C31/C$21</f>
        <v>-0.28199516044698986</v>
      </c>
      <c r="D32" s="216">
        <f>D31/D$21</f>
        <v>-0.28237670056933523</v>
      </c>
      <c r="E32" s="217">
        <v>-0.35</v>
      </c>
      <c r="F32" s="217">
        <v>-0.34799999999999998</v>
      </c>
      <c r="G32" s="217">
        <v>-0.34599999999999997</v>
      </c>
      <c r="H32" s="217">
        <v>-0.34399999999999997</v>
      </c>
      <c r="I32" s="217">
        <v>-0.34200000000000003</v>
      </c>
      <c r="J32" s="218"/>
    </row>
    <row r="33" spans="1:19">
      <c r="A33" s="215" t="s">
        <v>487</v>
      </c>
      <c r="B33" s="216"/>
      <c r="C33" s="216">
        <f>IF(ISERROR(C31/B31-1),"",C31/B31-1)</f>
        <v>8.2149273232075659E-2</v>
      </c>
      <c r="D33" s="216">
        <f>IF(ISERROR(D31/C31-1),"",D31/C31-1)</f>
        <v>0.16663791988271326</v>
      </c>
      <c r="E33" s="219" t="s">
        <v>860</v>
      </c>
      <c r="F33" s="219"/>
      <c r="G33" s="219"/>
      <c r="H33" s="219"/>
      <c r="I33" s="219"/>
      <c r="J33" s="218"/>
    </row>
    <row r="34" spans="1:19">
      <c r="A34" s="223" t="str">
        <f>Data!A69</f>
        <v>&lt;Other Operating Expenses&gt;</v>
      </c>
      <c r="B34" s="710">
        <f>Data!E69</f>
        <v>-431.8</v>
      </c>
      <c r="C34" s="710">
        <f>Data!F69</f>
        <v>-457.3</v>
      </c>
      <c r="D34" s="710">
        <f>Data!G69</f>
        <v>-522.4</v>
      </c>
      <c r="E34" s="727">
        <f>('Forecast Development'!E39+'Forecast Development'!E46)*Forecasts!E35</f>
        <v>-590.6362147403139</v>
      </c>
      <c r="F34" s="727">
        <f>('Forecast Development'!F39+'Forecast Development'!F46)*Forecasts!F35</f>
        <v>-649.89599461642638</v>
      </c>
      <c r="G34" s="727">
        <f>('Forecast Development'!G39+'Forecast Development'!G46)*Forecasts!G35</f>
        <v>-727.00605256644303</v>
      </c>
      <c r="H34" s="727">
        <f>('Forecast Development'!H39+'Forecast Development'!H46)*Forecasts!H35</f>
        <v>-811.43620995071888</v>
      </c>
      <c r="I34" s="727">
        <f>('Forecast Development'!I39+'Forecast Development'!I46)*Forecasts!I35</f>
        <v>-903.85586741409713</v>
      </c>
      <c r="J34" s="728">
        <f>I34*$J$16</f>
        <v>-930.97154343652005</v>
      </c>
    </row>
    <row r="35" spans="1:19">
      <c r="A35" s="215" t="s">
        <v>486</v>
      </c>
      <c r="B35" s="216">
        <f>B34/B$21</f>
        <v>-2.9044582559797673E-2</v>
      </c>
      <c r="C35" s="216">
        <f>C34/C$21</f>
        <v>-2.7803110446381889E-2</v>
      </c>
      <c r="D35" s="216">
        <f>D34/D$21</f>
        <v>-2.7261294076513225E-2</v>
      </c>
      <c r="E35" s="217">
        <v>-0.13</v>
      </c>
      <c r="F35" s="217">
        <f>E35</f>
        <v>-0.13</v>
      </c>
      <c r="G35" s="217">
        <f>F35</f>
        <v>-0.13</v>
      </c>
      <c r="H35" s="217">
        <f>G35</f>
        <v>-0.13</v>
      </c>
      <c r="I35" s="217">
        <f>H35</f>
        <v>-0.13</v>
      </c>
      <c r="J35" s="218"/>
      <c r="M35" s="744"/>
      <c r="N35" s="745"/>
      <c r="O35" s="746"/>
      <c r="P35" s="746"/>
      <c r="Q35" s="746"/>
      <c r="R35" s="746"/>
      <c r="S35" s="746"/>
    </row>
    <row r="36" spans="1:19">
      <c r="A36" s="215" t="s">
        <v>487</v>
      </c>
      <c r="B36" s="216"/>
      <c r="C36" s="216">
        <f>IF(ISERROR(C34/B34-1),"",C34/B34-1)</f>
        <v>5.9055118110236116E-2</v>
      </c>
      <c r="D36" s="216">
        <f>IF(ISERROR(D34/C34-1),"",D34/C34-1)</f>
        <v>0.14235731467308099</v>
      </c>
      <c r="E36" s="219" t="s">
        <v>861</v>
      </c>
      <c r="F36" s="219"/>
      <c r="G36" s="219"/>
      <c r="H36" s="219"/>
      <c r="I36" s="219"/>
      <c r="J36" s="224"/>
      <c r="M36" s="739"/>
      <c r="N36" s="743"/>
      <c r="O36" s="743"/>
      <c r="P36" s="743"/>
      <c r="Q36" s="743"/>
      <c r="R36" s="743"/>
      <c r="S36" s="743"/>
    </row>
    <row r="37" spans="1:19">
      <c r="A37" s="223" t="str">
        <f>Data!A70</f>
        <v>&lt;Depreciation and Amortization&gt;</v>
      </c>
      <c r="B37" s="710">
        <f>Data!E70</f>
        <v>-621.4</v>
      </c>
      <c r="C37" s="710">
        <f>Data!F70</f>
        <v>-709.6</v>
      </c>
      <c r="D37" s="710">
        <f>Data!G70</f>
        <v>-893.9</v>
      </c>
      <c r="E37" s="727">
        <f>-'Forecast Development'!E228*0.95</f>
        <v>-1048.9709999999998</v>
      </c>
      <c r="F37" s="727">
        <f>-'Forecast Development'!F228*0.95</f>
        <v>-1191.4709999999998</v>
      </c>
      <c r="G37" s="727">
        <f>-'Forecast Development'!G228*0.95</f>
        <v>-1362.4709999999998</v>
      </c>
      <c r="H37" s="727">
        <f>-'Forecast Development'!H228*0.95</f>
        <v>-1561.9709999999998</v>
      </c>
      <c r="I37" s="727">
        <f>-'Forecast Development'!I228*0.95</f>
        <v>-1094.001</v>
      </c>
      <c r="J37" s="728">
        <f>I37*$J$16</f>
        <v>-1126.8210300000001</v>
      </c>
      <c r="M37" s="741"/>
      <c r="N37" s="740"/>
      <c r="O37" s="740"/>
      <c r="P37" s="740"/>
      <c r="Q37" s="740"/>
      <c r="R37" s="740"/>
      <c r="S37" s="740"/>
    </row>
    <row r="38" spans="1:19">
      <c r="A38" s="215" t="s">
        <v>486</v>
      </c>
      <c r="B38" s="216">
        <f>B37/B$21</f>
        <v>-4.179783140958377E-2</v>
      </c>
      <c r="C38" s="216">
        <f>C37/C$21</f>
        <v>-4.3142547939542072E-2</v>
      </c>
      <c r="D38" s="216">
        <f>D37/D$21</f>
        <v>-4.6647914959791675E-2</v>
      </c>
      <c r="E38" s="225"/>
      <c r="F38" s="225"/>
      <c r="G38" s="225"/>
      <c r="H38" s="225"/>
      <c r="I38" s="225"/>
      <c r="J38" s="218"/>
      <c r="M38" s="741"/>
      <c r="N38" s="740"/>
      <c r="O38" s="740"/>
      <c r="P38" s="740"/>
      <c r="Q38" s="740"/>
      <c r="R38" s="740"/>
      <c r="S38" s="740"/>
    </row>
    <row r="39" spans="1:19">
      <c r="A39" s="215" t="s">
        <v>487</v>
      </c>
      <c r="B39" s="216"/>
      <c r="C39" s="216">
        <f>IF(ISERROR(C37/B37-1),"",C37/B37-1)</f>
        <v>0.1419375603476023</v>
      </c>
      <c r="D39" s="216">
        <f>IF(ISERROR(D37/C37-1),"",D37/C37-1)</f>
        <v>0.25972378804960528</v>
      </c>
      <c r="E39" s="219" t="s">
        <v>767</v>
      </c>
      <c r="F39" s="219"/>
      <c r="G39" s="219"/>
      <c r="H39" s="219"/>
      <c r="I39" s="219"/>
      <c r="J39" s="224"/>
      <c r="M39" s="741"/>
      <c r="N39" s="740"/>
      <c r="O39" s="740"/>
      <c r="P39" s="740"/>
      <c r="Q39" s="740"/>
      <c r="R39" s="740"/>
      <c r="S39" s="740"/>
    </row>
    <row r="40" spans="1:19">
      <c r="A40" s="223" t="str">
        <f>Data!A71</f>
        <v>&lt;General and Administrative Expenses&gt;</v>
      </c>
      <c r="B40" s="710">
        <f>Data!E71</f>
        <v>-937.9</v>
      </c>
      <c r="C40" s="710">
        <f>Data!F71</f>
        <v>-991.3</v>
      </c>
      <c r="D40" s="710">
        <f>Data!G71</f>
        <v>-1196.7</v>
      </c>
      <c r="E40" s="727">
        <f>E$21*E41</f>
        <v>-1300.7007860270983</v>
      </c>
      <c r="F40" s="727">
        <f>F$21*F41</f>
        <v>-1420.2304816726241</v>
      </c>
      <c r="G40" s="727">
        <f>G$21*G41</f>
        <v>-1577.6500020682645</v>
      </c>
      <c r="H40" s="727">
        <f>H$21*H41</f>
        <v>-1749.5616695178226</v>
      </c>
      <c r="I40" s="727">
        <f>I$21*I41</f>
        <v>-1937.2035552198438</v>
      </c>
      <c r="J40" s="728">
        <f>I40*$J$16</f>
        <v>-1995.3196618764391</v>
      </c>
      <c r="L40" s="50"/>
      <c r="M40" s="745"/>
      <c r="N40" s="740"/>
      <c r="O40" s="740"/>
      <c r="P40" s="740"/>
      <c r="Q40" s="740"/>
      <c r="R40" s="740"/>
      <c r="S40" s="740"/>
    </row>
    <row r="41" spans="1:19">
      <c r="A41" s="215" t="s">
        <v>486</v>
      </c>
      <c r="B41" s="216">
        <f>B40/B$21</f>
        <v>-6.308687814459063E-2</v>
      </c>
      <c r="C41" s="216">
        <f>C40/C$21</f>
        <v>-6.0269458529408189E-2</v>
      </c>
      <c r="D41" s="216">
        <f>D40/D$21</f>
        <v>-6.2449446059271399E-2</v>
      </c>
      <c r="E41" s="217">
        <v>-0.06</v>
      </c>
      <c r="F41" s="217">
        <f>E41</f>
        <v>-0.06</v>
      </c>
      <c r="G41" s="217">
        <f t="shared" ref="G41:I41" si="4">F41</f>
        <v>-0.06</v>
      </c>
      <c r="H41" s="217">
        <f t="shared" si="4"/>
        <v>-0.06</v>
      </c>
      <c r="I41" s="217">
        <f t="shared" si="4"/>
        <v>-0.06</v>
      </c>
      <c r="J41" s="218"/>
      <c r="L41" s="744"/>
      <c r="M41" s="741"/>
      <c r="N41" s="740"/>
      <c r="O41" s="740"/>
      <c r="P41" s="740"/>
      <c r="Q41" s="740"/>
      <c r="R41" s="740"/>
      <c r="S41" s="740"/>
    </row>
    <row r="42" spans="1:19">
      <c r="A42" s="215" t="s">
        <v>487</v>
      </c>
      <c r="B42" s="216"/>
      <c r="C42" s="216">
        <f>IF(ISERROR(C40/B40-1),"",C40/B40-1)</f>
        <v>5.6935707431495786E-2</v>
      </c>
      <c r="D42" s="216">
        <f>IF(ISERROR(D40/C40-1),"",D40/C40-1)</f>
        <v>0.20720266316957536</v>
      </c>
      <c r="E42" s="219" t="s">
        <v>770</v>
      </c>
      <c r="F42" s="219"/>
      <c r="G42" s="219"/>
      <c r="H42" s="219"/>
      <c r="I42" s="219"/>
      <c r="J42" s="224"/>
      <c r="L42" s="739"/>
      <c r="M42" s="747"/>
      <c r="N42" s="740"/>
      <c r="O42" s="740"/>
      <c r="P42" s="740"/>
      <c r="Q42" s="740"/>
      <c r="R42" s="740"/>
      <c r="S42" s="740"/>
    </row>
    <row r="43" spans="1:19">
      <c r="A43" s="223" t="str">
        <f>Data!A72</f>
        <v>Other operating expenses (1)</v>
      </c>
      <c r="B43" s="710">
        <f>Data!E72</f>
        <v>0</v>
      </c>
      <c r="C43" s="710">
        <f>Data!F72</f>
        <v>0</v>
      </c>
      <c r="D43" s="710">
        <f>Data!G72</f>
        <v>0</v>
      </c>
      <c r="E43" s="727">
        <f>E$21*E44</f>
        <v>0</v>
      </c>
      <c r="F43" s="727">
        <f>F$21*F44</f>
        <v>0</v>
      </c>
      <c r="G43" s="727">
        <f>G$21*G44</f>
        <v>0</v>
      </c>
      <c r="H43" s="727">
        <f>H$21*H44</f>
        <v>0</v>
      </c>
      <c r="I43" s="727">
        <f>I$21*I44</f>
        <v>0</v>
      </c>
      <c r="J43" s="728">
        <f>I43*$J$16</f>
        <v>0</v>
      </c>
      <c r="L43" s="741"/>
      <c r="M43" s="741"/>
      <c r="N43" s="748"/>
      <c r="O43" s="748"/>
      <c r="P43" s="748"/>
      <c r="Q43" s="748"/>
      <c r="R43" s="748"/>
      <c r="S43" s="748"/>
    </row>
    <row r="44" spans="1:19">
      <c r="A44" s="215" t="s">
        <v>486</v>
      </c>
      <c r="B44" s="216">
        <f>B43/B$21</f>
        <v>0</v>
      </c>
      <c r="C44" s="216">
        <f>C43/C$21</f>
        <v>0</v>
      </c>
      <c r="D44" s="216">
        <f>D43/D$21</f>
        <v>0</v>
      </c>
      <c r="E44" s="217">
        <v>0</v>
      </c>
      <c r="F44" s="217">
        <f>E44</f>
        <v>0</v>
      </c>
      <c r="G44" s="217">
        <f>F44</f>
        <v>0</v>
      </c>
      <c r="H44" s="217">
        <f>G44</f>
        <v>0</v>
      </c>
      <c r="I44" s="217">
        <f>H44</f>
        <v>0</v>
      </c>
      <c r="J44" s="218"/>
      <c r="L44" s="741"/>
      <c r="M44" s="741"/>
      <c r="N44" s="749"/>
      <c r="O44" s="749"/>
      <c r="P44" s="749"/>
      <c r="Q44" s="749"/>
      <c r="R44" s="749"/>
      <c r="S44" s="749"/>
    </row>
    <row r="45" spans="1:19">
      <c r="A45" s="215" t="s">
        <v>487</v>
      </c>
      <c r="B45" s="216"/>
      <c r="C45" s="216" t="str">
        <f>IF(ISERROR(C43/B43-1),"",C43/B43-1)</f>
        <v/>
      </c>
      <c r="D45" s="216" t="str">
        <f>IF(ISERROR(D43/C43-1),"",D43/C43-1)</f>
        <v/>
      </c>
      <c r="E45" s="219" t="s">
        <v>170</v>
      </c>
      <c r="F45" s="219"/>
      <c r="G45" s="219"/>
      <c r="H45" s="219"/>
      <c r="I45" s="219"/>
      <c r="J45" s="224"/>
      <c r="L45" s="741"/>
      <c r="M45" s="740"/>
      <c r="N45" s="740"/>
      <c r="O45" s="740"/>
      <c r="P45" s="740"/>
      <c r="Q45" s="740"/>
      <c r="R45" s="740"/>
      <c r="S45" s="50"/>
    </row>
    <row r="46" spans="1:19">
      <c r="A46" s="223" t="str">
        <f>Data!A73</f>
        <v>Other operating expenses (2)</v>
      </c>
      <c r="B46" s="710">
        <f>Data!E73</f>
        <v>0</v>
      </c>
      <c r="C46" s="710">
        <f>Data!F73</f>
        <v>0</v>
      </c>
      <c r="D46" s="710">
        <f>Data!G73</f>
        <v>0</v>
      </c>
      <c r="E46" s="727">
        <f>E$21*E47</f>
        <v>0</v>
      </c>
      <c r="F46" s="727">
        <f>F$21*F47</f>
        <v>0</v>
      </c>
      <c r="G46" s="727">
        <f>G$21*G47</f>
        <v>0</v>
      </c>
      <c r="H46" s="727">
        <f>H$21*H47</f>
        <v>0</v>
      </c>
      <c r="I46" s="727">
        <f>I$21*I47</f>
        <v>0</v>
      </c>
      <c r="J46" s="728">
        <f>I46*$J$16</f>
        <v>0</v>
      </c>
      <c r="L46" s="745"/>
      <c r="M46" s="740"/>
      <c r="N46" s="740"/>
      <c r="O46" s="740"/>
      <c r="P46" s="740"/>
      <c r="Q46" s="740"/>
      <c r="R46" s="740"/>
    </row>
    <row r="47" spans="1:19">
      <c r="A47" s="215" t="s">
        <v>486</v>
      </c>
      <c r="B47" s="216">
        <f>B46/B$21</f>
        <v>0</v>
      </c>
      <c r="C47" s="216">
        <f>C46/C$21</f>
        <v>0</v>
      </c>
      <c r="D47" s="216">
        <f>D46/D$21</f>
        <v>0</v>
      </c>
      <c r="E47" s="217">
        <v>0</v>
      </c>
      <c r="F47" s="217">
        <f>E47</f>
        <v>0</v>
      </c>
      <c r="G47" s="217">
        <f>F47</f>
        <v>0</v>
      </c>
      <c r="H47" s="217">
        <f>G47</f>
        <v>0</v>
      </c>
      <c r="I47" s="217">
        <f>H47</f>
        <v>0</v>
      </c>
      <c r="J47" s="218"/>
      <c r="L47" s="741"/>
      <c r="M47" s="740"/>
      <c r="N47" s="740"/>
      <c r="O47" s="740"/>
      <c r="P47" s="740"/>
      <c r="Q47" s="740"/>
      <c r="R47" s="740"/>
    </row>
    <row r="48" spans="1:19">
      <c r="A48" s="215" t="s">
        <v>487</v>
      </c>
      <c r="B48" s="216"/>
      <c r="C48" s="216" t="str">
        <f>IF(ISERROR(C46/B46-1),"",C46/B46-1)</f>
        <v/>
      </c>
      <c r="D48" s="216" t="str">
        <f>IF(ISERROR(D46/C46-1),"",D46/C46-1)</f>
        <v/>
      </c>
      <c r="E48" s="219" t="s">
        <v>170</v>
      </c>
      <c r="F48" s="219"/>
      <c r="G48" s="219"/>
      <c r="H48" s="219"/>
      <c r="I48" s="219"/>
      <c r="J48" s="224"/>
      <c r="L48" s="747"/>
      <c r="M48" s="740"/>
      <c r="N48" s="740"/>
      <c r="O48" s="740"/>
      <c r="P48" s="740"/>
      <c r="Q48" s="740"/>
      <c r="R48" s="740"/>
    </row>
    <row r="49" spans="1:18">
      <c r="A49" s="223" t="str">
        <f>Data!A74</f>
        <v>Income from Equity Investees</v>
      </c>
      <c r="B49" s="710">
        <f>Data!E74</f>
        <v>251.4</v>
      </c>
      <c r="C49" s="710">
        <f>Data!F74</f>
        <v>268.3</v>
      </c>
      <c r="D49" s="710">
        <f>Data!G74</f>
        <v>249.9</v>
      </c>
      <c r="E49" s="727">
        <f>((D145+E145)/2)*E50</f>
        <v>180.4</v>
      </c>
      <c r="F49" s="727">
        <f t="shared" ref="F49:I49" si="5">((E145+F145)/2)*F50</f>
        <v>189.42000000000002</v>
      </c>
      <c r="G49" s="727">
        <f t="shared" si="5"/>
        <v>198.89100000000002</v>
      </c>
      <c r="H49" s="727">
        <f t="shared" si="5"/>
        <v>208.83555000000001</v>
      </c>
      <c r="I49" s="727">
        <f t="shared" si="5"/>
        <v>219.27732750000004</v>
      </c>
      <c r="J49" s="728">
        <f>I49*$J$16</f>
        <v>225.85564732500004</v>
      </c>
      <c r="L49" s="741"/>
      <c r="M49" s="748"/>
      <c r="N49" s="748"/>
      <c r="O49" s="748"/>
      <c r="P49" s="748"/>
      <c r="Q49" s="748"/>
      <c r="R49" s="748"/>
    </row>
    <row r="50" spans="1:18">
      <c r="A50" s="215" t="s">
        <v>486</v>
      </c>
      <c r="B50" s="216">
        <f>B49/B$21</f>
        <v>1.6910162240697395E-2</v>
      </c>
      <c r="C50" s="216">
        <f>C49/C$21</f>
        <v>1.6312211967557971E-2</v>
      </c>
      <c r="D50" s="216">
        <f>D49/D$21</f>
        <v>1.3040959781241684E-2</v>
      </c>
      <c r="E50" s="217">
        <v>0.5</v>
      </c>
      <c r="F50" s="217">
        <f>E50</f>
        <v>0.5</v>
      </c>
      <c r="G50" s="217">
        <f>F50</f>
        <v>0.5</v>
      </c>
      <c r="H50" s="217">
        <f>G50</f>
        <v>0.5</v>
      </c>
      <c r="I50" s="217">
        <f>H50</f>
        <v>0.5</v>
      </c>
      <c r="J50" s="218"/>
      <c r="L50" s="741"/>
      <c r="M50" s="749"/>
      <c r="N50" s="749"/>
      <c r="O50" s="749"/>
      <c r="P50" s="749"/>
      <c r="Q50" s="749"/>
      <c r="R50" s="749"/>
    </row>
    <row r="51" spans="1:18">
      <c r="A51" s="215" t="s">
        <v>487</v>
      </c>
      <c r="B51" s="216"/>
      <c r="C51" s="216">
        <f>IF(ISERROR(C49/B49-1),"",C49/B49-1)</f>
        <v>6.722354813046949E-2</v>
      </c>
      <c r="D51" s="216">
        <f>IF(ISERROR(D49/C49-1),"",D49/C49-1)</f>
        <v>-6.8579947819604969E-2</v>
      </c>
      <c r="E51" s="219" t="s">
        <v>768</v>
      </c>
      <c r="F51" s="219"/>
      <c r="G51" s="219"/>
      <c r="H51" s="219"/>
      <c r="I51" s="219"/>
      <c r="J51" s="224"/>
      <c r="L51" s="50"/>
      <c r="M51" s="50"/>
      <c r="N51" s="50"/>
      <c r="O51" s="50"/>
      <c r="P51" s="50"/>
      <c r="Q51" s="50"/>
      <c r="R51" s="50"/>
    </row>
    <row r="52" spans="1:18">
      <c r="A52" s="223" t="str">
        <f>Data!A75</f>
        <v>Non-recurring operating gains &lt;losses&gt;</v>
      </c>
      <c r="B52" s="710">
        <f>Data!E75</f>
        <v>-2784.1</v>
      </c>
      <c r="C52" s="710">
        <f>Data!F75</f>
        <v>20.2</v>
      </c>
      <c r="D52" s="710">
        <f>Data!G75</f>
        <v>0</v>
      </c>
      <c r="E52" s="727">
        <v>0</v>
      </c>
      <c r="F52" s="727">
        <v>0</v>
      </c>
      <c r="G52" s="727">
        <v>0</v>
      </c>
      <c r="H52" s="727">
        <v>0</v>
      </c>
      <c r="I52" s="727">
        <v>0</v>
      </c>
      <c r="J52" s="728">
        <f>I52*$J$16</f>
        <v>0</v>
      </c>
    </row>
    <row r="53" spans="1:18">
      <c r="A53" s="215" t="s">
        <v>486</v>
      </c>
      <c r="B53" s="216">
        <f>B52/B$21</f>
        <v>-0.18726962090026097</v>
      </c>
      <c r="C53" s="216">
        <f>C52/C$21</f>
        <v>1.2281277739272121E-3</v>
      </c>
      <c r="D53" s="216">
        <f>D52/D$21</f>
        <v>0</v>
      </c>
      <c r="E53" s="217">
        <v>0</v>
      </c>
      <c r="F53" s="217">
        <f>E53</f>
        <v>0</v>
      </c>
      <c r="G53" s="217">
        <f>F53</f>
        <v>0</v>
      </c>
      <c r="H53" s="217">
        <f>G53</f>
        <v>0</v>
      </c>
      <c r="I53" s="217">
        <f>H53</f>
        <v>0</v>
      </c>
      <c r="J53" s="226"/>
    </row>
    <row r="54" spans="1:18">
      <c r="A54" s="215" t="s">
        <v>487</v>
      </c>
      <c r="B54" s="216"/>
      <c r="C54" s="216">
        <f>IF(ISERROR(C52/B52-1),"",C52/B52-1)</f>
        <v>-1.007255486512697</v>
      </c>
      <c r="D54" s="216">
        <f>IF(ISERROR(D52/C52-1),"",D52/C52-1)</f>
        <v>-1</v>
      </c>
      <c r="E54" s="219" t="s">
        <v>22</v>
      </c>
      <c r="F54" s="219"/>
      <c r="G54" s="219"/>
      <c r="H54" s="219"/>
      <c r="I54" s="219"/>
      <c r="J54" s="224"/>
    </row>
    <row r="55" spans="1:18">
      <c r="A55" s="210" t="str">
        <f>Data!A76</f>
        <v xml:space="preserve">  Operating Profit</v>
      </c>
      <c r="B55" s="713">
        <f>B27+B31+B34+B37+B40+B43+B46+B49+B52</f>
        <v>-325.40000000000055</v>
      </c>
      <c r="C55" s="713">
        <f t="shared" ref="C55:J55" si="6">C27+C31+C34+C37+C40+C43+C46+C49+C52</f>
        <v>3081.1000000000004</v>
      </c>
      <c r="D55" s="713">
        <f t="shared" si="6"/>
        <v>3601.0000000000014</v>
      </c>
      <c r="E55" s="713">
        <f t="shared" si="6"/>
        <v>4267.6977050557553</v>
      </c>
      <c r="F55" s="713">
        <f t="shared" si="6"/>
        <v>4710.3602917053686</v>
      </c>
      <c r="G55" s="713">
        <f t="shared" si="6"/>
        <v>5326.4155002376801</v>
      </c>
      <c r="H55" s="713">
        <f t="shared" si="6"/>
        <v>6002.9165659944856</v>
      </c>
      <c r="I55" s="713">
        <f t="shared" si="6"/>
        <v>7444.7704738332059</v>
      </c>
      <c r="J55" s="713">
        <f t="shared" si="6"/>
        <v>7668.1135880481952</v>
      </c>
    </row>
    <row r="56" spans="1:18">
      <c r="A56" s="215" t="s">
        <v>486</v>
      </c>
      <c r="B56" s="216">
        <f t="shared" ref="B56:J56" si="7">B55/B$21</f>
        <v>-2.1887696074474706E-2</v>
      </c>
      <c r="C56" s="216">
        <f t="shared" si="7"/>
        <v>0.18732596456668979</v>
      </c>
      <c r="D56" s="216">
        <f t="shared" si="7"/>
        <v>0.18791715154962513</v>
      </c>
      <c r="E56" s="216">
        <f t="shared" si="7"/>
        <v>0.19686454029559616</v>
      </c>
      <c r="F56" s="216">
        <f t="shared" si="7"/>
        <v>0.19899700868937478</v>
      </c>
      <c r="G56" s="216">
        <f t="shared" si="7"/>
        <v>0.20257023395258261</v>
      </c>
      <c r="H56" s="216">
        <f t="shared" si="7"/>
        <v>0.20586584642022535</v>
      </c>
      <c r="I56" s="216">
        <f t="shared" si="7"/>
        <v>0.23058301086965541</v>
      </c>
      <c r="J56" s="216">
        <f t="shared" si="7"/>
        <v>0.23058301086965521</v>
      </c>
    </row>
    <row r="57" spans="1:18">
      <c r="A57" s="215" t="s">
        <v>487</v>
      </c>
      <c r="B57" s="216"/>
      <c r="C57" s="216">
        <f t="shared" ref="C57:I57" si="8">IF(ISERROR(C55/B55-1),"",C55/B55-1)</f>
        <v>-10.468653964351553</v>
      </c>
      <c r="D57" s="216">
        <f t="shared" si="8"/>
        <v>0.16873843757099771</v>
      </c>
      <c r="E57" s="216">
        <f t="shared" si="8"/>
        <v>0.18514237852145343</v>
      </c>
      <c r="F57" s="216">
        <f t="shared" si="8"/>
        <v>0.1037239788856672</v>
      </c>
      <c r="G57" s="216">
        <f t="shared" si="8"/>
        <v>0.13078727960940562</v>
      </c>
      <c r="H57" s="216">
        <f t="shared" si="8"/>
        <v>0.1270086920043354</v>
      </c>
      <c r="I57" s="216">
        <f t="shared" si="8"/>
        <v>0.2401922285587943</v>
      </c>
      <c r="J57" s="216"/>
    </row>
    <row r="58" spans="1:18">
      <c r="A58" s="210"/>
      <c r="B58" s="216"/>
      <c r="C58" s="216"/>
      <c r="D58" s="216"/>
      <c r="E58" s="221"/>
      <c r="F58" s="221"/>
      <c r="G58" s="221"/>
      <c r="H58" s="221"/>
      <c r="I58" s="221"/>
      <c r="J58" s="221"/>
      <c r="L58" s="227"/>
      <c r="M58" s="227"/>
      <c r="N58" s="227"/>
    </row>
    <row r="59" spans="1:18">
      <c r="A59" s="210" t="str">
        <f>Data!A77</f>
        <v>Interest income</v>
      </c>
      <c r="B59" s="710">
        <f>Data!E77</f>
        <v>123.6</v>
      </c>
      <c r="C59" s="710">
        <f>Data!F77</f>
        <v>142.69999999999999</v>
      </c>
      <c r="D59" s="710">
        <f>Data!G77</f>
        <v>43</v>
      </c>
      <c r="E59" s="727">
        <f>E60*((D115+E115+D118+E118+D142+E142)/2)</f>
        <v>43.168606936006213</v>
      </c>
      <c r="F59" s="727">
        <f t="shared" ref="F59:I59" si="9">F60*((E115+F115+E118+F118+E142+F142)/2)</f>
        <v>47.782345027598758</v>
      </c>
      <c r="G59" s="727">
        <f t="shared" si="9"/>
        <v>52.025231021038806</v>
      </c>
      <c r="H59" s="727">
        <f t="shared" si="9"/>
        <v>57.029337431116829</v>
      </c>
      <c r="I59" s="727">
        <f t="shared" si="9"/>
        <v>62.476163624655754</v>
      </c>
      <c r="J59" s="728">
        <f>I59*$J$16</f>
        <v>64.350448533395422</v>
      </c>
    </row>
    <row r="60" spans="1:18">
      <c r="A60" s="215" t="s">
        <v>486</v>
      </c>
      <c r="B60" s="216">
        <f>B59/B$21</f>
        <v>8.313826781822584E-3</v>
      </c>
      <c r="C60" s="216">
        <f>C59/C$21</f>
        <v>8.6759323435353052E-3</v>
      </c>
      <c r="D60" s="216">
        <f>D59/D$21</f>
        <v>2.2439426594373442E-3</v>
      </c>
      <c r="E60" s="217">
        <v>2.1000000000000001E-2</v>
      </c>
      <c r="F60" s="217">
        <f>E60</f>
        <v>2.1000000000000001E-2</v>
      </c>
      <c r="G60" s="217">
        <f>F60</f>
        <v>2.1000000000000001E-2</v>
      </c>
      <c r="H60" s="217">
        <f>G60</f>
        <v>2.1000000000000001E-2</v>
      </c>
      <c r="I60" s="217">
        <f>H60</f>
        <v>2.1000000000000001E-2</v>
      </c>
      <c r="J60" s="218"/>
    </row>
    <row r="61" spans="1:18">
      <c r="A61" s="215" t="s">
        <v>487</v>
      </c>
      <c r="B61" s="216"/>
      <c r="C61" s="216">
        <f>IF(ISERROR(C59/B59-1),"",C59/B59-1)</f>
        <v>0.15453074433656955</v>
      </c>
      <c r="D61" s="216">
        <f>IF(ISERROR(D59/C59-1),"",D59/C59-1)</f>
        <v>-0.69866853538892781</v>
      </c>
      <c r="E61" s="219" t="s">
        <v>884</v>
      </c>
      <c r="F61" s="219"/>
      <c r="G61" s="219"/>
      <c r="H61" s="219"/>
      <c r="I61" s="219"/>
      <c r="J61" s="224"/>
    </row>
    <row r="62" spans="1:18">
      <c r="A62" s="210" t="str">
        <f>Data!A78</f>
        <v>&lt;Interest expense&gt;</v>
      </c>
      <c r="B62" s="710">
        <f>Data!E78</f>
        <v>-28.1</v>
      </c>
      <c r="C62" s="710">
        <f>Data!F78</f>
        <v>-64.099999999999994</v>
      </c>
      <c r="D62" s="710">
        <f>Data!G78</f>
        <v>-70.5</v>
      </c>
      <c r="E62" s="727">
        <f>E63*((D177+E177+D180+E180+D198+E198)/2)</f>
        <v>-77.07374999999999</v>
      </c>
      <c r="F62" s="727">
        <f>F63*((E177+F177+E180+F180+E198+F198)/2)</f>
        <v>-90.60733208955223</v>
      </c>
      <c r="G62" s="727">
        <f>G63*((F177+G177+F180+G180+F198+G198)/2)</f>
        <v>-90.60733208955223</v>
      </c>
      <c r="H62" s="727">
        <f>H63*((G177+H177+G180+H180+G198+H198)/2)</f>
        <v>-90.60733208955223</v>
      </c>
      <c r="I62" s="727">
        <f>I63*((H177+I177+H180+I180+H198+I198)/2)</f>
        <v>-90.60733208955223</v>
      </c>
      <c r="J62" s="728">
        <f>I62*$J$16</f>
        <v>-93.325552052238805</v>
      </c>
      <c r="L62" s="227"/>
    </row>
    <row r="63" spans="1:18">
      <c r="A63" s="215" t="s">
        <v>486</v>
      </c>
      <c r="B63" s="216">
        <f>B62/B$21</f>
        <v>-1.8901175774208305E-3</v>
      </c>
      <c r="C63" s="216">
        <f>C62/C$21</f>
        <v>-3.897177738056153E-3</v>
      </c>
      <c r="D63" s="216">
        <f>D62/D$21</f>
        <v>-3.6790222672170411E-3</v>
      </c>
      <c r="E63" s="606">
        <f>-'Forecast Development'!E257</f>
        <v>-2.7067164179104476E-2</v>
      </c>
      <c r="F63" s="606">
        <f>E63</f>
        <v>-2.7067164179104476E-2</v>
      </c>
      <c r="G63" s="606">
        <f>F63</f>
        <v>-2.7067164179104476E-2</v>
      </c>
      <c r="H63" s="606">
        <f>G63</f>
        <v>-2.7067164179104476E-2</v>
      </c>
      <c r="I63" s="606">
        <f>H63</f>
        <v>-2.7067164179104476E-2</v>
      </c>
      <c r="J63" s="218"/>
    </row>
    <row r="64" spans="1:18">
      <c r="A64" s="215" t="s">
        <v>487</v>
      </c>
      <c r="B64" s="216"/>
      <c r="C64" s="216">
        <f>IF(ISERROR(C62/B62-1),"",C62/B62-1)</f>
        <v>1.2811387900355871</v>
      </c>
      <c r="D64" s="216">
        <f>IF(ISERROR(D62/C62-1),"",D62/C62-1)</f>
        <v>9.9843993759750393E-2</v>
      </c>
      <c r="E64" s="219" t="s">
        <v>898</v>
      </c>
      <c r="F64" s="219"/>
      <c r="G64" s="219"/>
      <c r="H64" s="219"/>
      <c r="I64" s="219"/>
      <c r="J64" s="224"/>
    </row>
    <row r="65" spans="1:10">
      <c r="A65" s="223" t="str">
        <f>Data!A79</f>
        <v>Income &lt;Loss&gt; from equity affiliates</v>
      </c>
      <c r="B65" s="710">
        <f>Data!E79</f>
        <v>0</v>
      </c>
      <c r="C65" s="710">
        <f>Data!F79</f>
        <v>0</v>
      </c>
      <c r="D65" s="710">
        <f>Data!G79</f>
        <v>0</v>
      </c>
      <c r="E65" s="727">
        <f>E66*(D142+E142)/2</f>
        <v>0</v>
      </c>
      <c r="F65" s="727">
        <f>F66*(E142+F142)/2</f>
        <v>0</v>
      </c>
      <c r="G65" s="727">
        <f>G66*(F142+G142)/2</f>
        <v>0</v>
      </c>
      <c r="H65" s="727">
        <f>H66*(G142+H142)/2</f>
        <v>0</v>
      </c>
      <c r="I65" s="727">
        <f>I66*(H142+I142)/2</f>
        <v>0</v>
      </c>
      <c r="J65" s="728">
        <f>I65*$J$16</f>
        <v>0</v>
      </c>
    </row>
    <row r="66" spans="1:10">
      <c r="A66" s="215" t="s">
        <v>486</v>
      </c>
      <c r="B66" s="216">
        <f>B65/B$21</f>
        <v>0</v>
      </c>
      <c r="C66" s="216">
        <f>C65/C$21</f>
        <v>0</v>
      </c>
      <c r="D66" s="216">
        <f>D65/D$21</f>
        <v>0</v>
      </c>
      <c r="E66" s="228"/>
      <c r="F66" s="228"/>
      <c r="G66" s="228"/>
      <c r="H66" s="228"/>
      <c r="I66" s="228"/>
      <c r="J66" s="226"/>
    </row>
    <row r="67" spans="1:10">
      <c r="A67" s="215" t="s">
        <v>487</v>
      </c>
      <c r="B67" s="216"/>
      <c r="C67" s="216" t="str">
        <f>IF(ISERROR(C65/B65-1),"",C65/B65-1)</f>
        <v/>
      </c>
      <c r="D67" s="216" t="str">
        <f>IF(ISERROR(D65/C65-1),"",D65/C65-1)</f>
        <v/>
      </c>
      <c r="E67" s="219" t="s">
        <v>22</v>
      </c>
      <c r="F67" s="219"/>
      <c r="G67" s="219"/>
      <c r="H67" s="219"/>
      <c r="I67" s="219"/>
      <c r="J67" s="224"/>
    </row>
    <row r="68" spans="1:10">
      <c r="A68" s="223" t="str">
        <f>Data!A80</f>
        <v>Other income or gains &lt;Other expenses or losses&gt;</v>
      </c>
      <c r="B68" s="710">
        <f>Data!E80</f>
        <v>0</v>
      </c>
      <c r="C68" s="710">
        <f>Data!F80</f>
        <v>0</v>
      </c>
      <c r="D68" s="710">
        <f>Data!G80</f>
        <v>329.5</v>
      </c>
      <c r="E68" s="730">
        <v>0</v>
      </c>
      <c r="F68" s="730">
        <v>0</v>
      </c>
      <c r="G68" s="730">
        <v>0</v>
      </c>
      <c r="H68" s="730">
        <v>0</v>
      </c>
      <c r="I68" s="730">
        <v>0</v>
      </c>
      <c r="J68" s="728">
        <f>I68*$J$16</f>
        <v>0</v>
      </c>
    </row>
    <row r="69" spans="1:10">
      <c r="A69" s="215" t="s">
        <v>486</v>
      </c>
      <c r="B69" s="216">
        <f>B68/B$21</f>
        <v>0</v>
      </c>
      <c r="C69" s="216">
        <f>C68/C$21</f>
        <v>0</v>
      </c>
      <c r="D69" s="216">
        <f>D68/D$21</f>
        <v>1.7194862936851279E-2</v>
      </c>
      <c r="E69" s="225">
        <v>0</v>
      </c>
      <c r="F69" s="225">
        <f>E69</f>
        <v>0</v>
      </c>
      <c r="G69" s="225">
        <f>F69</f>
        <v>0</v>
      </c>
      <c r="H69" s="225">
        <f>G69</f>
        <v>0</v>
      </c>
      <c r="I69" s="225">
        <f>H69</f>
        <v>0</v>
      </c>
      <c r="J69" s="226"/>
    </row>
    <row r="70" spans="1:10">
      <c r="A70" s="215" t="s">
        <v>487</v>
      </c>
      <c r="B70" s="216"/>
      <c r="C70" s="216" t="str">
        <f>IF(ISERROR(C68/B68-1),"",C68/B68-1)</f>
        <v/>
      </c>
      <c r="D70" s="216" t="str">
        <f>IF(ISERROR(D68/C68-1),"",D68/C68-1)</f>
        <v/>
      </c>
      <c r="E70" s="219" t="s">
        <v>22</v>
      </c>
      <c r="F70" s="219"/>
      <c r="G70" s="219"/>
      <c r="H70" s="219"/>
      <c r="I70" s="219"/>
      <c r="J70" s="224"/>
    </row>
    <row r="71" spans="1:10">
      <c r="A71" s="223" t="str">
        <f>Data!A81</f>
        <v xml:space="preserve">  Income before Tax</v>
      </c>
      <c r="B71" s="713">
        <f>B55+B59+B62+B65+B68</f>
        <v>-229.90000000000055</v>
      </c>
      <c r="C71" s="713">
        <f t="shared" ref="C71:J71" si="10">C55+C59+C62+C65+C68</f>
        <v>3159.7000000000003</v>
      </c>
      <c r="D71" s="713">
        <f t="shared" si="10"/>
        <v>3903.0000000000014</v>
      </c>
      <c r="E71" s="713">
        <f t="shared" si="10"/>
        <v>4233.7925619917623</v>
      </c>
      <c r="F71" s="713">
        <f t="shared" si="10"/>
        <v>4667.5353046434157</v>
      </c>
      <c r="G71" s="713">
        <f t="shared" si="10"/>
        <v>5287.833399169167</v>
      </c>
      <c r="H71" s="713">
        <f t="shared" si="10"/>
        <v>5969.3385713360503</v>
      </c>
      <c r="I71" s="713">
        <f t="shared" si="10"/>
        <v>7416.6393053683096</v>
      </c>
      <c r="J71" s="713">
        <f t="shared" si="10"/>
        <v>7639.1384845293514</v>
      </c>
    </row>
    <row r="72" spans="1:10">
      <c r="A72" s="215" t="s">
        <v>486</v>
      </c>
      <c r="B72" s="216">
        <f t="shared" ref="B72:J72" si="11">B71/B$21</f>
        <v>-1.5463986870072952E-2</v>
      </c>
      <c r="C72" s="216">
        <f t="shared" si="11"/>
        <v>0.19210471917216895</v>
      </c>
      <c r="D72" s="216">
        <f t="shared" si="11"/>
        <v>0.2036769348786967</v>
      </c>
      <c r="E72" s="216">
        <f t="shared" si="11"/>
        <v>0.19530053064349684</v>
      </c>
      <c r="F72" s="216">
        <f t="shared" si="11"/>
        <v>0.19718779584901169</v>
      </c>
      <c r="G72" s="216">
        <f t="shared" si="11"/>
        <v>0.20110290846145595</v>
      </c>
      <c r="H72" s="216">
        <f t="shared" si="11"/>
        <v>0.20471431245911534</v>
      </c>
      <c r="I72" s="216">
        <f t="shared" si="11"/>
        <v>0.22971171879332933</v>
      </c>
      <c r="J72" s="216">
        <f t="shared" si="11"/>
        <v>0.22971171879332911</v>
      </c>
    </row>
    <row r="73" spans="1:10">
      <c r="A73" s="215" t="s">
        <v>487</v>
      </c>
      <c r="B73" s="216"/>
      <c r="C73" s="216">
        <f t="shared" ref="C73:I73" si="12">IF(ISERROR(C71/B71-1),"",C71/B71-1)</f>
        <v>-14.743801652892531</v>
      </c>
      <c r="D73" s="216">
        <f t="shared" si="12"/>
        <v>0.23524385226445577</v>
      </c>
      <c r="E73" s="216">
        <f t="shared" si="12"/>
        <v>8.4753410707599564E-2</v>
      </c>
      <c r="F73" s="216">
        <f t="shared" si="12"/>
        <v>0.10244780213029658</v>
      </c>
      <c r="G73" s="216">
        <f t="shared" si="12"/>
        <v>0.13289628337865134</v>
      </c>
      <c r="H73" s="216">
        <f t="shared" si="12"/>
        <v>0.12888174053932233</v>
      </c>
      <c r="I73" s="216">
        <f t="shared" si="12"/>
        <v>0.24245579585349697</v>
      </c>
      <c r="J73" s="216"/>
    </row>
    <row r="74" spans="1:10">
      <c r="A74" s="215"/>
      <c r="B74" s="216"/>
      <c r="C74" s="216"/>
      <c r="D74" s="216"/>
      <c r="E74" s="221"/>
      <c r="F74" s="221"/>
      <c r="G74" s="221"/>
      <c r="H74" s="221"/>
      <c r="I74" s="221"/>
      <c r="J74" s="221"/>
    </row>
    <row r="75" spans="1:10">
      <c r="A75" s="210" t="str">
        <f>Data!A82</f>
        <v>&lt;Income tax expense&gt;</v>
      </c>
      <c r="B75" s="710">
        <f>Data!E82</f>
        <v>238.7</v>
      </c>
      <c r="C75" s="710">
        <f>Data!F82</f>
        <v>-1092</v>
      </c>
      <c r="D75" s="710">
        <f>Data!G82</f>
        <v>-1143.7</v>
      </c>
      <c r="E75" s="727">
        <f>E71*E76</f>
        <v>-1439.4894710771994</v>
      </c>
      <c r="F75" s="727">
        <f>F71*F76</f>
        <v>-1586.9620035787614</v>
      </c>
      <c r="G75" s="727">
        <f>G71*G76</f>
        <v>-1797.8633557175169</v>
      </c>
      <c r="H75" s="727">
        <f>H71*H76</f>
        <v>-2029.5751142542572</v>
      </c>
      <c r="I75" s="727">
        <f>I71*I76</f>
        <v>-2521.6573638252253</v>
      </c>
      <c r="J75" s="728">
        <f>I75*$J$16</f>
        <v>-2597.3070847399822</v>
      </c>
    </row>
    <row r="76" spans="1:10">
      <c r="A76" s="215" t="s">
        <v>486</v>
      </c>
      <c r="B76" s="216">
        <f>B75/B$21</f>
        <v>1.6055909812468051E-2</v>
      </c>
      <c r="C76" s="216">
        <f>C75/C$21</f>
        <v>-6.6391857877649299E-2</v>
      </c>
      <c r="D76" s="216">
        <f>D75/D$21</f>
        <v>-5.9683656269732342E-2</v>
      </c>
      <c r="E76" s="228">
        <v>-0.34</v>
      </c>
      <c r="F76" s="228">
        <f>E76</f>
        <v>-0.34</v>
      </c>
      <c r="G76" s="228">
        <f>F76</f>
        <v>-0.34</v>
      </c>
      <c r="H76" s="228">
        <f>G76</f>
        <v>-0.34</v>
      </c>
      <c r="I76" s="228">
        <f>H76</f>
        <v>-0.34</v>
      </c>
      <c r="J76" s="218"/>
    </row>
    <row r="77" spans="1:10">
      <c r="A77" s="215" t="s">
        <v>487</v>
      </c>
      <c r="B77" s="216"/>
      <c r="C77" s="216">
        <f>IF(ISERROR(C75/B75-1),"",C75/B75-1)</f>
        <v>-5.5747800586510268</v>
      </c>
      <c r="D77" s="216">
        <f>IF(ISERROR(D75/C75-1),"",D75/C75-1)</f>
        <v>4.7344322344322398E-2</v>
      </c>
      <c r="E77" s="219" t="s">
        <v>228</v>
      </c>
      <c r="F77" s="219"/>
      <c r="G77" s="219"/>
      <c r="H77" s="219"/>
      <c r="I77" s="219"/>
      <c r="J77" s="229"/>
    </row>
    <row r="78" spans="1:10">
      <c r="A78" s="210" t="str">
        <f>Data!A83</f>
        <v>Income &lt;Loss&gt; from discontinued operations</v>
      </c>
      <c r="B78" s="710">
        <f>Data!E83</f>
        <v>0</v>
      </c>
      <c r="C78" s="710">
        <f>Data!F83</f>
        <v>0</v>
      </c>
      <c r="D78" s="710">
        <f>Data!G83</f>
        <v>0</v>
      </c>
      <c r="E78" s="730">
        <v>0</v>
      </c>
      <c r="F78" s="730">
        <v>0</v>
      </c>
      <c r="G78" s="730">
        <v>0</v>
      </c>
      <c r="H78" s="730">
        <v>0</v>
      </c>
      <c r="I78" s="730">
        <v>0</v>
      </c>
      <c r="J78" s="728">
        <f>I78*$J$16</f>
        <v>0</v>
      </c>
    </row>
    <row r="79" spans="1:10">
      <c r="A79" s="215" t="s">
        <v>486</v>
      </c>
      <c r="B79" s="216">
        <f>B78/B$21</f>
        <v>0</v>
      </c>
      <c r="C79" s="216">
        <f>C78/C$21</f>
        <v>0</v>
      </c>
      <c r="D79" s="216">
        <f>D78/D$21</f>
        <v>0</v>
      </c>
      <c r="E79" s="225">
        <v>0</v>
      </c>
      <c r="F79" s="225">
        <f>E79</f>
        <v>0</v>
      </c>
      <c r="G79" s="225">
        <f>F79</f>
        <v>0</v>
      </c>
      <c r="H79" s="225">
        <f>G79</f>
        <v>0</v>
      </c>
      <c r="I79" s="225">
        <f>H79</f>
        <v>0</v>
      </c>
      <c r="J79" s="226"/>
    </row>
    <row r="80" spans="1:10">
      <c r="A80" s="215" t="s">
        <v>487</v>
      </c>
      <c r="B80" s="216"/>
      <c r="C80" s="216" t="str">
        <f>IF(ISERROR(C78/B78-1),"",C78/B78-1)</f>
        <v/>
      </c>
      <c r="D80" s="216" t="str">
        <f>IF(ISERROR(D78/C78-1),"",D78/C78-1)</f>
        <v/>
      </c>
      <c r="E80" s="219" t="s">
        <v>22</v>
      </c>
      <c r="F80" s="219"/>
      <c r="G80" s="219"/>
      <c r="H80" s="219"/>
      <c r="I80" s="219"/>
      <c r="J80" s="224"/>
    </row>
    <row r="81" spans="1:10">
      <c r="A81" s="210" t="str">
        <f>Data!A85</f>
        <v>Changes in accounting principles</v>
      </c>
      <c r="B81" s="710">
        <f>Data!E85</f>
        <v>0</v>
      </c>
      <c r="C81" s="710">
        <f>Data!F85</f>
        <v>0</v>
      </c>
      <c r="D81" s="710">
        <f>Data!G85</f>
        <v>0</v>
      </c>
      <c r="E81" s="730">
        <v>0</v>
      </c>
      <c r="F81" s="730">
        <v>0</v>
      </c>
      <c r="G81" s="730">
        <v>0</v>
      </c>
      <c r="H81" s="730">
        <v>0</v>
      </c>
      <c r="I81" s="730">
        <v>0</v>
      </c>
      <c r="J81" s="728">
        <f>I81*$J$16</f>
        <v>0</v>
      </c>
    </row>
    <row r="82" spans="1:10">
      <c r="A82" s="215" t="s">
        <v>486</v>
      </c>
      <c r="B82" s="216">
        <f>B81/B$21</f>
        <v>0</v>
      </c>
      <c r="C82" s="216">
        <f>C81/C$21</f>
        <v>0</v>
      </c>
      <c r="D82" s="216">
        <f>D81/D$21</f>
        <v>0</v>
      </c>
      <c r="E82" s="225">
        <v>0</v>
      </c>
      <c r="F82" s="225">
        <f>E82</f>
        <v>0</v>
      </c>
      <c r="G82" s="225">
        <f>F82</f>
        <v>0</v>
      </c>
      <c r="H82" s="225">
        <f>G82</f>
        <v>0</v>
      </c>
      <c r="I82" s="225">
        <f>H82</f>
        <v>0</v>
      </c>
      <c r="J82" s="226"/>
    </row>
    <row r="83" spans="1:10">
      <c r="A83" s="215" t="s">
        <v>487</v>
      </c>
      <c r="B83" s="216"/>
      <c r="C83" s="216" t="str">
        <f>IF(ISERROR(C81/B81-1),"",C81/B81-1)</f>
        <v/>
      </c>
      <c r="D83" s="216" t="str">
        <f>IF(ISERROR(D81/C81-1),"",D81/C81-1)</f>
        <v/>
      </c>
      <c r="E83" s="219" t="s">
        <v>22</v>
      </c>
      <c r="F83" s="220"/>
      <c r="G83" s="220"/>
      <c r="H83" s="220"/>
      <c r="I83" s="220"/>
      <c r="J83" s="224"/>
    </row>
    <row r="84" spans="1:10">
      <c r="A84" s="223" t="str">
        <f>Data!A86</f>
        <v xml:space="preserve">  Net Income </v>
      </c>
      <c r="B84" s="713">
        <f t="shared" ref="B84:J84" si="13">B71+B75+B78+B81</f>
        <v>8.7999999999994429</v>
      </c>
      <c r="C84" s="713">
        <f t="shared" si="13"/>
        <v>2067.7000000000003</v>
      </c>
      <c r="D84" s="713">
        <f t="shared" si="13"/>
        <v>2759.3000000000011</v>
      </c>
      <c r="E84" s="713">
        <f t="shared" si="13"/>
        <v>2794.3030909145627</v>
      </c>
      <c r="F84" s="713">
        <f t="shared" si="13"/>
        <v>3080.5733010646545</v>
      </c>
      <c r="G84" s="713">
        <f t="shared" si="13"/>
        <v>3489.9700434516499</v>
      </c>
      <c r="H84" s="713">
        <f t="shared" si="13"/>
        <v>3939.7634570817931</v>
      </c>
      <c r="I84" s="713">
        <f t="shared" si="13"/>
        <v>4894.9819415430848</v>
      </c>
      <c r="J84" s="713">
        <f t="shared" si="13"/>
        <v>5041.8313997893692</v>
      </c>
    </row>
    <row r="85" spans="1:10">
      <c r="A85" s="215" t="s">
        <v>486</v>
      </c>
      <c r="B85" s="216">
        <f t="shared" ref="B85:J85" si="14">B84/B$21</f>
        <v>5.9192294239509798E-4</v>
      </c>
      <c r="C85" s="216">
        <f t="shared" si="14"/>
        <v>0.12571286129451967</v>
      </c>
      <c r="D85" s="216">
        <f>D84/D$21</f>
        <v>0.14399327860896435</v>
      </c>
      <c r="E85" s="216">
        <f t="shared" si="14"/>
        <v>0.12889835022470789</v>
      </c>
      <c r="F85" s="216">
        <f t="shared" si="14"/>
        <v>0.13014394526034773</v>
      </c>
      <c r="G85" s="216">
        <f t="shared" si="14"/>
        <v>0.13272791958456093</v>
      </c>
      <c r="H85" s="216">
        <f t="shared" si="14"/>
        <v>0.1351114462230161</v>
      </c>
      <c r="I85" s="216">
        <f t="shared" si="14"/>
        <v>0.15160973440359737</v>
      </c>
      <c r="J85" s="216">
        <f t="shared" si="14"/>
        <v>0.15160973440359712</v>
      </c>
    </row>
    <row r="86" spans="1:10">
      <c r="A86" s="215" t="s">
        <v>487</v>
      </c>
      <c r="B86" s="216"/>
      <c r="C86" s="216">
        <f>IF(ISERROR(C84/B84-1),"",C84/B84-1)</f>
        <v>233.96590909092399</v>
      </c>
      <c r="D86" s="216">
        <f>IF(ISERROR(D84/C84-1),"",D84/C84-1)</f>
        <v>0.33447792232915829</v>
      </c>
      <c r="E86" s="216">
        <f t="shared" ref="E86:J86" si="15">IF(ISERROR(E84/D84-1),"",E84/D84-1)</f>
        <v>1.268549665297769E-2</v>
      </c>
      <c r="F86" s="216">
        <f t="shared" si="15"/>
        <v>0.10244780213029681</v>
      </c>
      <c r="G86" s="216">
        <f t="shared" si="15"/>
        <v>0.13289628337865111</v>
      </c>
      <c r="H86" s="216">
        <f t="shared" si="15"/>
        <v>0.12888174053932233</v>
      </c>
      <c r="I86" s="216">
        <f t="shared" si="15"/>
        <v>0.24245579585349719</v>
      </c>
      <c r="J86" s="216">
        <f t="shared" si="15"/>
        <v>2.999999999999825E-2</v>
      </c>
    </row>
    <row r="87" spans="1:10">
      <c r="A87" s="223" t="str">
        <f>Data!A87</f>
        <v>Net income attributable to noncontrolling interests</v>
      </c>
      <c r="B87" s="731">
        <f>Data!E87</f>
        <v>-0.5</v>
      </c>
      <c r="C87" s="731">
        <f>Data!F87</f>
        <v>0.4</v>
      </c>
      <c r="D87" s="731">
        <f>Data!G87</f>
        <v>-1.9</v>
      </c>
      <c r="E87" s="730">
        <f>-E88*D237</f>
        <v>0</v>
      </c>
      <c r="F87" s="730">
        <f>-F88*E237</f>
        <v>0</v>
      </c>
      <c r="G87" s="730">
        <f>-G88*F237</f>
        <v>0</v>
      </c>
      <c r="H87" s="730">
        <f>-H88*G237</f>
        <v>0</v>
      </c>
      <c r="I87" s="730">
        <f>-I88*H237</f>
        <v>0</v>
      </c>
      <c r="J87" s="728">
        <f>I87*$J$16</f>
        <v>0</v>
      </c>
    </row>
    <row r="88" spans="1:10">
      <c r="A88" s="215" t="s">
        <v>486</v>
      </c>
      <c r="B88" s="216">
        <f>B87/B$21</f>
        <v>-3.3631985363359968E-5</v>
      </c>
      <c r="C88" s="216">
        <f>C87/C$21</f>
        <v>2.4319361859944799E-5</v>
      </c>
      <c r="D88" s="216">
        <f>D87/D$21</f>
        <v>-9.915095471932451E-5</v>
      </c>
      <c r="E88" s="552">
        <v>0</v>
      </c>
      <c r="F88" s="552">
        <f>E88</f>
        <v>0</v>
      </c>
      <c r="G88" s="552">
        <f>F88</f>
        <v>0</v>
      </c>
      <c r="H88" s="552">
        <f>G88</f>
        <v>0</v>
      </c>
      <c r="I88" s="552">
        <f>H88</f>
        <v>0</v>
      </c>
      <c r="J88" s="226"/>
    </row>
    <row r="89" spans="1:10">
      <c r="A89" s="215" t="s">
        <v>487</v>
      </c>
      <c r="B89" s="216"/>
      <c r="C89" s="216">
        <f>IF(ISERROR(C87/B87-1),"",C87/B87-1)</f>
        <v>-1.8</v>
      </c>
      <c r="D89" s="216">
        <f>IF(ISERROR(D87/C87-1),"",D87/C87-1)</f>
        <v>-5.7499999999999991</v>
      </c>
      <c r="E89" s="219" t="s">
        <v>726</v>
      </c>
      <c r="F89" s="219"/>
      <c r="G89" s="219"/>
      <c r="H89" s="219"/>
      <c r="I89" s="219"/>
      <c r="J89" s="224"/>
    </row>
    <row r="90" spans="1:10">
      <c r="A90" s="223" t="str">
        <f>Data!A88</f>
        <v xml:space="preserve">  Net Income attributable to common shareholders</v>
      </c>
      <c r="B90" s="732">
        <f>B84+B87</f>
        <v>8.2999999999994429</v>
      </c>
      <c r="C90" s="732">
        <f t="shared" ref="C90:J90" si="16">C84+C87</f>
        <v>2068.1000000000004</v>
      </c>
      <c r="D90" s="732">
        <f t="shared" si="16"/>
        <v>2757.400000000001</v>
      </c>
      <c r="E90" s="732">
        <f t="shared" si="16"/>
        <v>2794.3030909145627</v>
      </c>
      <c r="F90" s="732">
        <f t="shared" si="16"/>
        <v>3080.5733010646545</v>
      </c>
      <c r="G90" s="732">
        <f t="shared" si="16"/>
        <v>3489.9700434516499</v>
      </c>
      <c r="H90" s="732">
        <f t="shared" si="16"/>
        <v>3939.7634570817931</v>
      </c>
      <c r="I90" s="732">
        <f t="shared" si="16"/>
        <v>4894.9819415430848</v>
      </c>
      <c r="J90" s="732">
        <f t="shared" si="16"/>
        <v>5041.8313997893692</v>
      </c>
    </row>
    <row r="91" spans="1:10">
      <c r="A91" s="215" t="s">
        <v>486</v>
      </c>
      <c r="B91" s="216">
        <f>B90/B$21</f>
        <v>5.5829095703173806E-4</v>
      </c>
      <c r="C91" s="216">
        <f>C90/C$21</f>
        <v>0.12573718065637959</v>
      </c>
      <c r="D91" s="216">
        <f>D90/D$21</f>
        <v>0.143894127654245</v>
      </c>
      <c r="E91" s="216">
        <f t="shared" ref="E91:J91" si="17">E90/E$21</f>
        <v>0.12889835022470789</v>
      </c>
      <c r="F91" s="216">
        <f t="shared" si="17"/>
        <v>0.13014394526034773</v>
      </c>
      <c r="G91" s="216">
        <f t="shared" si="17"/>
        <v>0.13272791958456093</v>
      </c>
      <c r="H91" s="216">
        <f t="shared" si="17"/>
        <v>0.1351114462230161</v>
      </c>
      <c r="I91" s="216">
        <f t="shared" si="17"/>
        <v>0.15160973440359737</v>
      </c>
      <c r="J91" s="216">
        <f t="shared" si="17"/>
        <v>0.15160973440359712</v>
      </c>
    </row>
    <row r="92" spans="1:10">
      <c r="A92" s="215" t="s">
        <v>487</v>
      </c>
      <c r="B92" s="216"/>
      <c r="C92" s="216">
        <f t="shared" ref="C92:J92" si="18">IF(ISERROR(C90/B90-1),"",C90/B90-1)</f>
        <v>248.16867469881194</v>
      </c>
      <c r="D92" s="216">
        <f t="shared" si="18"/>
        <v>0.33330109762584037</v>
      </c>
      <c r="E92" s="216">
        <f t="shared" si="18"/>
        <v>1.3383292563488025E-2</v>
      </c>
      <c r="F92" s="216">
        <f t="shared" si="18"/>
        <v>0.10244780213029681</v>
      </c>
      <c r="G92" s="216">
        <f t="shared" si="18"/>
        <v>0.13289628337865111</v>
      </c>
      <c r="H92" s="216">
        <f t="shared" si="18"/>
        <v>0.12888174053932233</v>
      </c>
      <c r="I92" s="216">
        <f t="shared" si="18"/>
        <v>0.24245579585349719</v>
      </c>
      <c r="J92" s="216">
        <f t="shared" si="18"/>
        <v>2.999999999999825E-2</v>
      </c>
    </row>
    <row r="93" spans="1:10">
      <c r="A93" s="215"/>
      <c r="B93" s="216"/>
      <c r="C93" s="216"/>
      <c r="D93" s="216"/>
      <c r="E93" s="216"/>
      <c r="F93" s="216"/>
      <c r="G93" s="216"/>
      <c r="H93" s="216"/>
      <c r="I93" s="216"/>
      <c r="J93" s="216"/>
    </row>
    <row r="94" spans="1:10">
      <c r="A94" s="210" t="str">
        <f>Data!A91</f>
        <v>Other comprehensive income items</v>
      </c>
      <c r="B94" s="710">
        <f>Data!E91</f>
        <v>43.8</v>
      </c>
      <c r="C94" s="710">
        <f>Data!F91</f>
        <v>-41.300000000000004</v>
      </c>
      <c r="D94" s="710">
        <f>Data!G91</f>
        <v>-195.5</v>
      </c>
      <c r="E94" s="733">
        <v>0</v>
      </c>
      <c r="F94" s="733">
        <v>0</v>
      </c>
      <c r="G94" s="733">
        <v>0</v>
      </c>
      <c r="H94" s="733">
        <v>0</v>
      </c>
      <c r="I94" s="733">
        <v>0</v>
      </c>
      <c r="J94" s="728">
        <f>I94*$J$16</f>
        <v>0</v>
      </c>
    </row>
    <row r="95" spans="1:10">
      <c r="A95" s="215" t="s">
        <v>486</v>
      </c>
      <c r="B95" s="216">
        <f>B94/B$21</f>
        <v>2.9461619178303335E-3</v>
      </c>
      <c r="C95" s="216">
        <f>C94/C$21</f>
        <v>-2.5109741120393006E-3</v>
      </c>
      <c r="D95" s="216">
        <f>D94/D$21</f>
        <v>-1.0202111393488391E-2</v>
      </c>
      <c r="E95" s="225">
        <v>0</v>
      </c>
      <c r="F95" s="225">
        <f>E95</f>
        <v>0</v>
      </c>
      <c r="G95" s="225">
        <f>F95</f>
        <v>0</v>
      </c>
      <c r="H95" s="225">
        <f>G95</f>
        <v>0</v>
      </c>
      <c r="I95" s="225">
        <f>H95</f>
        <v>0</v>
      </c>
      <c r="J95" s="218"/>
    </row>
    <row r="96" spans="1:10">
      <c r="A96" s="215" t="s">
        <v>487</v>
      </c>
      <c r="B96" s="216"/>
      <c r="C96" s="216">
        <f>IF(ISERROR(C94/B94-1),"",C94/B94-1)</f>
        <v>-1.9429223744292239</v>
      </c>
      <c r="D96" s="216">
        <f>IF(ISERROR(D94/C94-1),"",D94/C94-1)</f>
        <v>3.7336561743341399</v>
      </c>
      <c r="E96" s="219" t="s">
        <v>771</v>
      </c>
      <c r="F96" s="220"/>
      <c r="G96" s="220"/>
      <c r="H96" s="220"/>
      <c r="I96" s="220"/>
      <c r="J96" s="224"/>
    </row>
    <row r="97" spans="1:17" ht="13.5" thickBot="1">
      <c r="A97" s="223" t="str">
        <f>Data!A92</f>
        <v>Comprehensive Income</v>
      </c>
      <c r="B97" s="714">
        <f t="shared" ref="B97:J97" si="19">B84+B94</f>
        <v>52.59999999999944</v>
      </c>
      <c r="C97" s="714">
        <f t="shared" si="19"/>
        <v>2026.4000000000003</v>
      </c>
      <c r="D97" s="714">
        <f t="shared" si="19"/>
        <v>2563.8000000000011</v>
      </c>
      <c r="E97" s="714">
        <f t="shared" si="19"/>
        <v>2794.3030909145627</v>
      </c>
      <c r="F97" s="714">
        <f t="shared" si="19"/>
        <v>3080.5733010646545</v>
      </c>
      <c r="G97" s="714">
        <f t="shared" si="19"/>
        <v>3489.9700434516499</v>
      </c>
      <c r="H97" s="714">
        <f t="shared" si="19"/>
        <v>3939.7634570817931</v>
      </c>
      <c r="I97" s="714">
        <f t="shared" si="19"/>
        <v>4894.9819415430848</v>
      </c>
      <c r="J97" s="714">
        <f t="shared" si="19"/>
        <v>5041.8313997893692</v>
      </c>
    </row>
    <row r="98" spans="1:17" ht="13.5" thickTop="1">
      <c r="A98" s="215" t="s">
        <v>486</v>
      </c>
      <c r="B98" s="216">
        <f t="shared" ref="B98:J98" si="20">B97/B$21</f>
        <v>3.5380848602254312E-3</v>
      </c>
      <c r="C98" s="216">
        <f t="shared" si="20"/>
        <v>0.12320188718248036</v>
      </c>
      <c r="D98" s="216">
        <f t="shared" si="20"/>
        <v>0.13379116721547596</v>
      </c>
      <c r="E98" s="216">
        <f t="shared" si="20"/>
        <v>0.12889835022470789</v>
      </c>
      <c r="F98" s="216">
        <f t="shared" si="20"/>
        <v>0.13014394526034773</v>
      </c>
      <c r="G98" s="216">
        <f t="shared" si="20"/>
        <v>0.13272791958456093</v>
      </c>
      <c r="H98" s="216">
        <f t="shared" si="20"/>
        <v>0.1351114462230161</v>
      </c>
      <c r="I98" s="216">
        <f t="shared" si="20"/>
        <v>0.15160973440359737</v>
      </c>
      <c r="J98" s="216">
        <f t="shared" si="20"/>
        <v>0.15160973440359712</v>
      </c>
    </row>
    <row r="99" spans="1:17">
      <c r="A99" s="215" t="s">
        <v>487</v>
      </c>
      <c r="B99" s="216"/>
      <c r="C99" s="216">
        <f>IF(ISERROR(C97/B97-1),"",C97/B97-1)</f>
        <v>37.524714828897757</v>
      </c>
      <c r="D99" s="216">
        <f>IF(ISERROR(D97/C97-1),"",D97/C97-1)</f>
        <v>0.26519936833793945</v>
      </c>
      <c r="E99" s="216">
        <f t="shared" ref="E99:J99" si="21">IF(ISERROR(E97/D97-1),"",E97/D97-1)</f>
        <v>8.99068144607853E-2</v>
      </c>
      <c r="F99" s="216">
        <f t="shared" si="21"/>
        <v>0.10244780213029681</v>
      </c>
      <c r="G99" s="216">
        <f t="shared" si="21"/>
        <v>0.13289628337865111</v>
      </c>
      <c r="H99" s="216">
        <f t="shared" si="21"/>
        <v>0.12888174053932233</v>
      </c>
      <c r="I99" s="216">
        <f t="shared" si="21"/>
        <v>0.24245579585349719</v>
      </c>
      <c r="J99" s="216">
        <f t="shared" si="21"/>
        <v>2.999999999999825E-2</v>
      </c>
    </row>
    <row r="100" spans="1:17">
      <c r="A100" s="210"/>
      <c r="B100" s="48"/>
      <c r="C100" s="48"/>
      <c r="D100" s="48"/>
      <c r="E100" s="48"/>
      <c r="F100" s="48"/>
      <c r="G100" s="48"/>
      <c r="H100" s="48"/>
      <c r="I100" s="48"/>
      <c r="J100" s="48"/>
    </row>
    <row r="101" spans="1:17">
      <c r="A101" s="213"/>
      <c r="B101" s="48"/>
      <c r="C101" s="48"/>
      <c r="D101" s="48"/>
      <c r="E101" s="48"/>
      <c r="F101" s="48"/>
      <c r="G101" s="48"/>
      <c r="H101" s="48"/>
      <c r="I101" s="48"/>
      <c r="J101" s="48"/>
      <c r="L101" s="48"/>
      <c r="M101" s="48"/>
      <c r="N101" s="48"/>
      <c r="O101" s="48"/>
      <c r="P101" s="48"/>
      <c r="Q101" s="48"/>
    </row>
    <row r="102" spans="1:17">
      <c r="A102" s="180" t="s">
        <v>469</v>
      </c>
      <c r="B102" s="181" t="s">
        <v>27</v>
      </c>
      <c r="C102" s="182"/>
      <c r="D102" s="182"/>
      <c r="E102" s="183"/>
      <c r="F102" s="184"/>
      <c r="G102" s="184"/>
      <c r="H102" s="184"/>
      <c r="I102" s="184"/>
      <c r="J102" s="185"/>
      <c r="L102" s="48"/>
      <c r="M102" s="48"/>
      <c r="N102" s="48"/>
      <c r="O102" s="48"/>
      <c r="P102" s="48"/>
      <c r="Q102" s="48"/>
    </row>
    <row r="103" spans="1:17">
      <c r="A103" s="186" t="str">
        <f>Data!A9</f>
        <v>Analyst Name:</v>
      </c>
      <c r="B103" s="230" t="str">
        <f>Data!B9</f>
        <v>Wahlen, Baginski &amp; Bradshaw</v>
      </c>
      <c r="C103" s="182"/>
      <c r="D103" s="182"/>
      <c r="E103" s="183"/>
      <c r="F103" s="184"/>
      <c r="G103" s="184"/>
      <c r="H103" s="184"/>
      <c r="I103" s="184"/>
      <c r="J103" s="185"/>
      <c r="L103" s="48"/>
      <c r="M103" s="48"/>
      <c r="N103" s="48"/>
      <c r="O103" s="48"/>
      <c r="P103" s="48"/>
      <c r="Q103" s="48"/>
    </row>
    <row r="104" spans="1:17">
      <c r="A104" s="186" t="str">
        <f>Data!A10</f>
        <v>Company Name:</v>
      </c>
      <c r="B104" s="231" t="str">
        <f>Data!B10</f>
        <v>Starbucks</v>
      </c>
      <c r="C104" s="207"/>
      <c r="D104" s="207"/>
      <c r="E104" s="232"/>
      <c r="F104" s="233"/>
      <c r="G104" s="233"/>
      <c r="H104" s="233"/>
      <c r="I104" s="233"/>
      <c r="J104" s="234"/>
      <c r="L104" s="48"/>
      <c r="M104" s="48"/>
      <c r="N104" s="48"/>
      <c r="O104" s="48"/>
      <c r="P104" s="48"/>
      <c r="Q104" s="48"/>
    </row>
    <row r="105" spans="1:17">
      <c r="A105" s="235"/>
      <c r="B105" s="194"/>
      <c r="C105" s="202"/>
      <c r="D105" s="202"/>
      <c r="E105" s="70"/>
      <c r="F105" s="62"/>
      <c r="G105" s="62"/>
      <c r="H105" s="62"/>
      <c r="I105" s="62"/>
      <c r="J105" s="62"/>
      <c r="L105" s="48"/>
      <c r="M105" s="48"/>
      <c r="N105" s="48"/>
      <c r="O105" s="48"/>
      <c r="P105" s="48"/>
      <c r="Q105" s="48"/>
    </row>
    <row r="106" spans="1:17">
      <c r="A106" s="213"/>
      <c r="B106" s="213" t="s">
        <v>300</v>
      </c>
      <c r="C106" s="202"/>
      <c r="D106" s="202"/>
      <c r="E106" s="195" t="s">
        <v>300</v>
      </c>
      <c r="F106" s="193"/>
      <c r="G106" s="193"/>
      <c r="H106" s="193"/>
      <c r="I106" s="193"/>
      <c r="J106" s="193"/>
    </row>
    <row r="107" spans="1:17">
      <c r="A107" s="202"/>
      <c r="B107" s="213" t="s">
        <v>470</v>
      </c>
      <c r="C107" s="202"/>
      <c r="D107" s="202"/>
      <c r="E107" s="196" t="s">
        <v>471</v>
      </c>
      <c r="F107" s="193"/>
      <c r="G107" s="193"/>
      <c r="H107" s="193"/>
      <c r="I107" s="193"/>
      <c r="J107" s="197" t="s">
        <v>23</v>
      </c>
    </row>
    <row r="108" spans="1:17">
      <c r="A108" s="202"/>
      <c r="B108" s="202" t="s">
        <v>472</v>
      </c>
      <c r="C108" s="202"/>
      <c r="D108" s="202"/>
      <c r="E108" s="198" t="s">
        <v>473</v>
      </c>
      <c r="F108" s="193"/>
      <c r="G108" s="193"/>
      <c r="H108" s="193"/>
      <c r="I108" s="199" t="s">
        <v>24</v>
      </c>
      <c r="J108" s="200">
        <f>$J$15</f>
        <v>0.03</v>
      </c>
    </row>
    <row r="109" spans="1:17">
      <c r="A109" s="202"/>
      <c r="B109" s="202" t="s">
        <v>474</v>
      </c>
      <c r="C109" s="202"/>
      <c r="D109" s="202"/>
      <c r="E109" s="198" t="s">
        <v>475</v>
      </c>
      <c r="F109" s="193"/>
      <c r="G109" s="193"/>
      <c r="H109" s="193"/>
      <c r="I109" s="199" t="s">
        <v>476</v>
      </c>
      <c r="J109" s="201">
        <f>1+$J$15</f>
        <v>1.03</v>
      </c>
    </row>
    <row r="110" spans="1:17" ht="13.5" thickBot="1">
      <c r="A110" s="202"/>
      <c r="B110" s="236"/>
      <c r="C110" s="202"/>
      <c r="D110" s="202"/>
      <c r="E110" s="205"/>
      <c r="F110" s="205"/>
      <c r="G110" s="205"/>
      <c r="H110" s="205"/>
      <c r="I110" s="205"/>
      <c r="J110" s="205"/>
    </row>
    <row r="111" spans="1:17" ht="13.5" thickTop="1">
      <c r="A111" s="202"/>
      <c r="B111" s="237" t="s">
        <v>477</v>
      </c>
      <c r="C111" s="238"/>
      <c r="D111" s="238"/>
      <c r="E111" s="239" t="s">
        <v>478</v>
      </c>
      <c r="F111" s="240"/>
      <c r="G111" s="240"/>
      <c r="H111" s="240"/>
      <c r="I111" s="240"/>
      <c r="J111" s="239"/>
      <c r="L111" s="109" t="s">
        <v>242</v>
      </c>
    </row>
    <row r="112" spans="1:17">
      <c r="A112" s="202"/>
      <c r="B112" s="211">
        <f>B19</f>
        <v>2013</v>
      </c>
      <c r="C112" s="211">
        <f>C19</f>
        <v>2014</v>
      </c>
      <c r="D112" s="211">
        <f>D19</f>
        <v>2015</v>
      </c>
      <c r="E112" s="212" t="str">
        <f t="shared" ref="E112:J112" si="22">E$19</f>
        <v>Year +1</v>
      </c>
      <c r="F112" s="212" t="str">
        <f t="shared" si="22"/>
        <v>Year +2</v>
      </c>
      <c r="G112" s="212" t="str">
        <f t="shared" si="22"/>
        <v>Year +3</v>
      </c>
      <c r="H112" s="212" t="str">
        <f t="shared" si="22"/>
        <v>Year +4</v>
      </c>
      <c r="I112" s="212" t="str">
        <f t="shared" si="22"/>
        <v>Year +5</v>
      </c>
      <c r="J112" s="212" t="str">
        <f t="shared" si="22"/>
        <v>Year +6</v>
      </c>
      <c r="L112" s="179" t="s">
        <v>1</v>
      </c>
    </row>
    <row r="113" spans="1:20">
      <c r="A113" s="213" t="s">
        <v>488</v>
      </c>
      <c r="B113" s="241"/>
      <c r="C113" s="241"/>
      <c r="D113" s="241"/>
      <c r="E113" s="50"/>
      <c r="F113" s="50"/>
      <c r="G113" s="50"/>
      <c r="H113" s="50"/>
      <c r="I113" s="50"/>
      <c r="J113" s="52"/>
    </row>
    <row r="114" spans="1:20">
      <c r="A114" s="210" t="s">
        <v>457</v>
      </c>
      <c r="B114" s="241"/>
      <c r="C114" s="241"/>
      <c r="D114" s="241"/>
      <c r="E114" s="50"/>
      <c r="F114" s="50"/>
      <c r="G114" s="50"/>
      <c r="H114" s="50"/>
      <c r="I114" s="50"/>
      <c r="J114" s="52"/>
    </row>
    <row r="115" spans="1:20">
      <c r="A115" s="210" t="str">
        <f>Data!A16</f>
        <v>Cash and cash equivalents</v>
      </c>
      <c r="B115" s="710">
        <f>Data!E16</f>
        <v>2575.6999999999998</v>
      </c>
      <c r="C115" s="710">
        <f>Data!F16</f>
        <v>1708.4</v>
      </c>
      <c r="D115" s="710">
        <f>Data!G16</f>
        <v>1530.1</v>
      </c>
      <c r="E115" s="711">
        <f>E21/365*E116</f>
        <v>1781.781898667258</v>
      </c>
      <c r="F115" s="711">
        <f>F21/365*F116</f>
        <v>1945.5212077707181</v>
      </c>
      <c r="G115" s="711">
        <f>G21/365*G116</f>
        <v>2161.164386394883</v>
      </c>
      <c r="H115" s="711">
        <f>H21/365*H116</f>
        <v>2396.6598212572912</v>
      </c>
      <c r="I115" s="711">
        <f>I21/365*I116</f>
        <v>2653.7035003011561</v>
      </c>
      <c r="J115" s="712">
        <f>I115*$J$109</f>
        <v>2733.3146053101909</v>
      </c>
      <c r="L115" s="109" t="s">
        <v>4</v>
      </c>
    </row>
    <row r="116" spans="1:20">
      <c r="A116" s="215" t="s">
        <v>486</v>
      </c>
      <c r="B116" s="216">
        <f>B115/B$166</f>
        <v>0.22364913560308078</v>
      </c>
      <c r="C116" s="216">
        <f>C115/C$166</f>
        <v>0.15887807010201904</v>
      </c>
      <c r="D116" s="216">
        <f>D115/D$166</f>
        <v>0.12293741769556418</v>
      </c>
      <c r="E116" s="225">
        <v>30</v>
      </c>
      <c r="F116" s="225">
        <f>E116</f>
        <v>30</v>
      </c>
      <c r="G116" s="225">
        <f>F116</f>
        <v>30</v>
      </c>
      <c r="H116" s="225">
        <f>G116</f>
        <v>30</v>
      </c>
      <c r="I116" s="225">
        <f>H116</f>
        <v>30</v>
      </c>
      <c r="J116" s="243"/>
      <c r="L116" s="179" t="s">
        <v>5</v>
      </c>
    </row>
    <row r="117" spans="1:20">
      <c r="A117" s="215" t="s">
        <v>487</v>
      </c>
      <c r="B117" s="216"/>
      <c r="C117" s="216">
        <f>IF(ISERROR(C115/B115-1),"",C115/B115-1)</f>
        <v>-0.33672399735994085</v>
      </c>
      <c r="D117" s="216">
        <f>IF(ISERROR(D115/C115-1),"",D115/C115-1)</f>
        <v>-0.10436665886209329</v>
      </c>
      <c r="E117" s="219" t="s">
        <v>772</v>
      </c>
      <c r="F117" s="220"/>
      <c r="G117" s="220"/>
      <c r="H117" s="220"/>
      <c r="I117" s="220"/>
      <c r="J117" s="244"/>
    </row>
    <row r="118" spans="1:20">
      <c r="A118" s="210" t="str">
        <f>Data!A17</f>
        <v>Short-term investments</v>
      </c>
      <c r="B118" s="710">
        <f>Data!E17</f>
        <v>658.1</v>
      </c>
      <c r="C118" s="710">
        <f>Data!F17</f>
        <v>135.4</v>
      </c>
      <c r="D118" s="710">
        <f>Data!G17</f>
        <v>81.3</v>
      </c>
      <c r="E118" s="711">
        <f>D118*(1+E119)</f>
        <v>83.739000000000004</v>
      </c>
      <c r="F118" s="711">
        <f>E118*(1+F119)</f>
        <v>86.251170000000002</v>
      </c>
      <c r="G118" s="711">
        <f>F118*(1+G119)</f>
        <v>88.838705099999999</v>
      </c>
      <c r="H118" s="711">
        <f>G118*(1+H119)</f>
        <v>91.503866252999998</v>
      </c>
      <c r="I118" s="711">
        <f>H118*(1+I119)</f>
        <v>94.248982240589996</v>
      </c>
      <c r="J118" s="712">
        <f>I118*$J$109</f>
        <v>97.076451707807692</v>
      </c>
    </row>
    <row r="119" spans="1:20">
      <c r="A119" s="215" t="s">
        <v>486</v>
      </c>
      <c r="B119" s="216">
        <f>B118/B$166</f>
        <v>5.7143105229796744E-2</v>
      </c>
      <c r="C119" s="216">
        <f>C118/C$166</f>
        <v>1.2591951938546814E-2</v>
      </c>
      <c r="D119" s="216">
        <f>D118/D$166</f>
        <v>6.5321299644790333E-3</v>
      </c>
      <c r="E119" s="228">
        <v>0.03</v>
      </c>
      <c r="F119" s="228">
        <f>E119</f>
        <v>0.03</v>
      </c>
      <c r="G119" s="228">
        <f>F119</f>
        <v>0.03</v>
      </c>
      <c r="H119" s="228">
        <f>G119</f>
        <v>0.03</v>
      </c>
      <c r="I119" s="228">
        <f>H119</f>
        <v>0.03</v>
      </c>
      <c r="J119" s="243"/>
    </row>
    <row r="120" spans="1:20">
      <c r="A120" s="215" t="s">
        <v>487</v>
      </c>
      <c r="B120" s="216"/>
      <c r="C120" s="216">
        <f>IF(ISERROR(C118/B118-1),"",C118/B118-1)</f>
        <v>-0.79425619206807474</v>
      </c>
      <c r="D120" s="216">
        <f>IF(ISERROR(D118/C118-1),"",D118/C118-1)</f>
        <v>-0.39955686853766625</v>
      </c>
      <c r="E120" s="219" t="s">
        <v>711</v>
      </c>
      <c r="F120" s="220"/>
      <c r="G120" s="220"/>
      <c r="H120" s="220"/>
      <c r="I120" s="220"/>
      <c r="J120" s="229"/>
      <c r="L120" s="245"/>
      <c r="M120" s="245"/>
      <c r="N120" s="245"/>
      <c r="O120" s="245"/>
      <c r="P120" s="245"/>
      <c r="Q120" s="245"/>
      <c r="R120" s="245"/>
      <c r="S120" s="245"/>
      <c r="T120" s="245"/>
    </row>
    <row r="121" spans="1:20">
      <c r="A121" s="210" t="str">
        <f>Data!A18</f>
        <v>Accounts and notes receivable - net</v>
      </c>
      <c r="B121" s="710">
        <f>Data!E18</f>
        <v>561.4</v>
      </c>
      <c r="C121" s="710">
        <f>Data!F18</f>
        <v>631</v>
      </c>
      <c r="D121" s="710">
        <f>Data!G18</f>
        <v>719</v>
      </c>
      <c r="E121" s="711">
        <f>D121*(1+E122)</f>
        <v>825.021493386472</v>
      </c>
      <c r="F121" s="711">
        <f>E121*(1+F122)</f>
        <v>907.79764369862266</v>
      </c>
      <c r="G121" s="711">
        <f>F121*(1+G122)</f>
        <v>1015.5076919099586</v>
      </c>
      <c r="H121" s="711">
        <f>G121*(1+H122)</f>
        <v>1133.4427131525288</v>
      </c>
      <c r="I121" s="711">
        <f>H121*(1+I122)</f>
        <v>1262.5377498532951</v>
      </c>
      <c r="J121" s="712">
        <f>I121*$J$109</f>
        <v>1300.413882348894</v>
      </c>
    </row>
    <row r="122" spans="1:20">
      <c r="A122" s="215" t="s">
        <v>486</v>
      </c>
      <c r="B122" s="216">
        <f>B121/B$166</f>
        <v>4.8746602759471042E-2</v>
      </c>
      <c r="C122" s="216">
        <f>C121/C$166</f>
        <v>5.8681843967673848E-2</v>
      </c>
      <c r="D122" s="216">
        <f>D121/D$166</f>
        <v>5.7768775454617775E-2</v>
      </c>
      <c r="E122" s="228">
        <f>(('Forecast Development'!E23+'Forecast Development'!E24)/('Forecast Development'!D23+'Forecast Development'!D24))-1</f>
        <v>0.1474568753636607</v>
      </c>
      <c r="F122" s="228">
        <f>(('Forecast Development'!F23+'Forecast Development'!F24)/('Forecast Development'!E23+'Forecast Development'!E24))-1</f>
        <v>0.10033211373970241</v>
      </c>
      <c r="G122" s="228">
        <f>(('Forecast Development'!G23+'Forecast Development'!G24)/('Forecast Development'!F23+'Forecast Development'!F24))-1</f>
        <v>0.11864984334228379</v>
      </c>
      <c r="H122" s="228">
        <f>(('Forecast Development'!H23+'Forecast Development'!H24)/('Forecast Development'!G23+'Forecast Development'!G24))-1</f>
        <v>0.11613405017224343</v>
      </c>
      <c r="I122" s="228">
        <f>(('Forecast Development'!I23+'Forecast Development'!I24)/('Forecast Development'!H23+'Forecast Development'!H24))-1</f>
        <v>0.1138963930004937</v>
      </c>
      <c r="J122" s="243"/>
    </row>
    <row r="123" spans="1:20">
      <c r="A123" s="215" t="s">
        <v>487</v>
      </c>
      <c r="B123" s="216"/>
      <c r="C123" s="216">
        <f>IF(ISERROR(C121/B121-1),"",C121/B121-1)</f>
        <v>0.12397577484859279</v>
      </c>
      <c r="D123" s="216">
        <f>IF(ISERROR(D121/C121-1),"",D121/C121-1)</f>
        <v>0.13946117274167991</v>
      </c>
      <c r="E123" s="219" t="s">
        <v>773</v>
      </c>
      <c r="F123" s="220"/>
      <c r="G123" s="220"/>
      <c r="H123" s="220"/>
      <c r="I123" s="220"/>
      <c r="J123" s="244"/>
    </row>
    <row r="124" spans="1:20">
      <c r="A124" s="210" t="str">
        <f>Data!A19</f>
        <v>Inventories</v>
      </c>
      <c r="B124" s="710">
        <f>Data!E19</f>
        <v>1111.2</v>
      </c>
      <c r="C124" s="710">
        <f>Data!F19</f>
        <v>1090.9000000000001</v>
      </c>
      <c r="D124" s="710">
        <f>Data!G19</f>
        <v>1306.4000000000001</v>
      </c>
      <c r="E124" s="711">
        <f>-E24/365*E125</f>
        <v>1327.6593381493781</v>
      </c>
      <c r="F124" s="711">
        <f>-F24/365*F125</f>
        <v>1440.7120079427973</v>
      </c>
      <c r="G124" s="711">
        <f>-G24/365*G125</f>
        <v>1585.9028223219673</v>
      </c>
      <c r="H124" s="711">
        <f>-H24/365*H125</f>
        <v>1742.7009864608583</v>
      </c>
      <c r="I124" s="711">
        <f>-I24/365*I125</f>
        <v>1911.9701488564601</v>
      </c>
      <c r="J124" s="712">
        <f>I124*$J$109</f>
        <v>1969.329253322154</v>
      </c>
    </row>
    <row r="125" spans="1:20">
      <c r="A125" s="215" t="s">
        <v>486</v>
      </c>
      <c r="B125" s="216">
        <f>B124/B$166</f>
        <v>9.6485972544218424E-2</v>
      </c>
      <c r="C125" s="216">
        <f>C124/C$166</f>
        <v>0.10145170140148242</v>
      </c>
      <c r="D125" s="216">
        <f>D124/D$166</f>
        <v>0.10496401704299398</v>
      </c>
      <c r="E125" s="225">
        <v>56</v>
      </c>
      <c r="F125" s="225">
        <f>E125</f>
        <v>56</v>
      </c>
      <c r="G125" s="225">
        <f>F125</f>
        <v>56</v>
      </c>
      <c r="H125" s="225">
        <f>G125</f>
        <v>56</v>
      </c>
      <c r="I125" s="225">
        <f>H125</f>
        <v>56</v>
      </c>
      <c r="J125" s="243"/>
    </row>
    <row r="126" spans="1:20">
      <c r="A126" s="215" t="s">
        <v>487</v>
      </c>
      <c r="B126" s="216"/>
      <c r="C126" s="216">
        <f>IF(ISERROR(C124/B124-1),"",C124/B124-1)</f>
        <v>-1.8268538516918564E-2</v>
      </c>
      <c r="D126" s="216">
        <f>IF(ISERROR(D124/C124-1),"",D124/C124-1)</f>
        <v>0.19754331286094051</v>
      </c>
      <c r="E126" s="219" t="s">
        <v>811</v>
      </c>
      <c r="F126" s="220"/>
      <c r="G126" s="220"/>
      <c r="H126" s="220"/>
      <c r="I126" s="220"/>
      <c r="J126" s="246"/>
    </row>
    <row r="127" spans="1:20">
      <c r="A127" s="223" t="str">
        <f>Data!A20</f>
        <v>Prepaid expenses and other current assets</v>
      </c>
      <c r="B127" s="710">
        <f>Data!E20</f>
        <v>287.7</v>
      </c>
      <c r="C127" s="710">
        <f>Data!F20</f>
        <v>285.60000000000002</v>
      </c>
      <c r="D127" s="710">
        <f>Data!G20</f>
        <v>334.2</v>
      </c>
      <c r="E127" s="711">
        <f>D127*(1+E128)</f>
        <v>351.95480179812017</v>
      </c>
      <c r="F127" s="711">
        <f>E127*(1+F128)</f>
        <v>369.70960359624036</v>
      </c>
      <c r="G127" s="711">
        <f>F127*(1+G128)</f>
        <v>387.46440539436048</v>
      </c>
      <c r="H127" s="711">
        <f>G127*(1+H128)</f>
        <v>405.21920719248061</v>
      </c>
      <c r="I127" s="711">
        <f>H127*(1+I128)</f>
        <v>422.97400899060079</v>
      </c>
      <c r="J127" s="712">
        <f>I127*$J$109</f>
        <v>435.66322926031881</v>
      </c>
    </row>
    <row r="128" spans="1:20">
      <c r="A128" s="215" t="s">
        <v>486</v>
      </c>
      <c r="B128" s="216">
        <f>B127/B$166</f>
        <v>2.4981114381723936E-2</v>
      </c>
      <c r="C128" s="216">
        <f>C127/C$166</f>
        <v>2.6560276762547786E-2</v>
      </c>
      <c r="D128" s="216">
        <f>D127/D$166</f>
        <v>2.6851633876124145E-2</v>
      </c>
      <c r="E128" s="228">
        <f>'Forecast Development'!E34/'Forecast Development'!D34-1</f>
        <v>5.312627707396822E-2</v>
      </c>
      <c r="F128" s="228">
        <f>'Forecast Development'!F34/'Forecast Development'!E34-1</f>
        <v>5.0446255335661716E-2</v>
      </c>
      <c r="G128" s="228">
        <f>'Forecast Development'!G34/'Forecast Development'!F34-1</f>
        <v>4.8023642408570266E-2</v>
      </c>
      <c r="H128" s="228">
        <f>'Forecast Development'!H34/'Forecast Development'!G34-1</f>
        <v>4.582305252026786E-2</v>
      </c>
      <c r="I128" s="228">
        <f>'Forecast Development'!I34/'Forecast Development'!H34-1</f>
        <v>4.3815301651499938E-2</v>
      </c>
      <c r="J128" s="243"/>
    </row>
    <row r="129" spans="1:15">
      <c r="A129" s="215" t="s">
        <v>487</v>
      </c>
      <c r="B129" s="216"/>
      <c r="C129" s="216">
        <f>IF(ISERROR(C127/B127-1),"",C127/B127-1)</f>
        <v>-7.2992700729925808E-3</v>
      </c>
      <c r="D129" s="216">
        <f>IF(ISERROR(D127/C127-1),"",D127/C127-1)</f>
        <v>0.1701680672268906</v>
      </c>
      <c r="E129" s="219" t="s">
        <v>774</v>
      </c>
      <c r="F129" s="220"/>
      <c r="G129" s="220"/>
      <c r="H129" s="220"/>
      <c r="I129" s="220"/>
      <c r="J129" s="246"/>
    </row>
    <row r="130" spans="1:15">
      <c r="A130" s="223" t="str">
        <f>Data!A21</f>
        <v>Deferred income taxes - current</v>
      </c>
      <c r="B130" s="710">
        <f>Data!E21</f>
        <v>277.3</v>
      </c>
      <c r="C130" s="710">
        <f>Data!F21</f>
        <v>317.39999999999998</v>
      </c>
      <c r="D130" s="710">
        <f>Data!G21</f>
        <v>381.77</v>
      </c>
      <c r="E130" s="711">
        <v>0</v>
      </c>
      <c r="F130" s="711">
        <f>E130*(1+F131)</f>
        <v>0</v>
      </c>
      <c r="G130" s="711">
        <f>F130*(1+G131)</f>
        <v>0</v>
      </c>
      <c r="H130" s="711">
        <f>G130*(1+H131)</f>
        <v>0</v>
      </c>
      <c r="I130" s="711">
        <f>H130*(1+I131)</f>
        <v>0</v>
      </c>
      <c r="J130" s="712">
        <f>I130*$J$109</f>
        <v>0</v>
      </c>
    </row>
    <row r="131" spans="1:15">
      <c r="A131" s="215" t="s">
        <v>486</v>
      </c>
      <c r="B131" s="216">
        <f>B130/B$166</f>
        <v>2.4078077921626861E-2</v>
      </c>
      <c r="C131" s="216">
        <f>C130/C$166</f>
        <v>2.9517618502915496E-2</v>
      </c>
      <c r="D131" s="216">
        <f>D130/D$166</f>
        <v>3.0673693192363599E-2</v>
      </c>
      <c r="E131" s="228">
        <v>0</v>
      </c>
      <c r="F131" s="228">
        <v>0</v>
      </c>
      <c r="G131" s="228">
        <v>0</v>
      </c>
      <c r="H131" s="228">
        <v>0</v>
      </c>
      <c r="I131" s="228">
        <v>0</v>
      </c>
      <c r="J131" s="243"/>
    </row>
    <row r="132" spans="1:15">
      <c r="A132" s="215" t="s">
        <v>487</v>
      </c>
      <c r="B132" s="216"/>
      <c r="C132" s="216">
        <f>IF(ISERROR(C130/B130-1),"",C130/B130-1)</f>
        <v>0.1446087270104579</v>
      </c>
      <c r="D132" s="216">
        <f>IF(ISERROR(D130/C130-1),"",D130/C130-1)</f>
        <v>0.20280403276622572</v>
      </c>
      <c r="E132" s="219" t="s">
        <v>878</v>
      </c>
      <c r="F132" s="220"/>
      <c r="G132" s="220"/>
      <c r="H132" s="220"/>
      <c r="I132" s="220"/>
      <c r="J132" s="246"/>
    </row>
    <row r="133" spans="1:15">
      <c r="A133" s="210" t="str">
        <f>Data!A22</f>
        <v>Other current assets (1)</v>
      </c>
      <c r="B133" s="710">
        <f>Data!E22</f>
        <v>0</v>
      </c>
      <c r="C133" s="710">
        <f>Data!F22</f>
        <v>0</v>
      </c>
      <c r="D133" s="710">
        <f>Data!G22</f>
        <v>0</v>
      </c>
      <c r="E133" s="711">
        <f>D133*(1+E134)</f>
        <v>0</v>
      </c>
      <c r="F133" s="711">
        <f>E133*(1+F134)</f>
        <v>0</v>
      </c>
      <c r="G133" s="711">
        <f>F133*(1+G134)</f>
        <v>0</v>
      </c>
      <c r="H133" s="711">
        <f>G133*(1+H134)</f>
        <v>0</v>
      </c>
      <c r="I133" s="711">
        <f>H133*(1+I134)</f>
        <v>0</v>
      </c>
      <c r="J133" s="712">
        <f>I133*$J$109</f>
        <v>0</v>
      </c>
    </row>
    <row r="134" spans="1:15">
      <c r="A134" s="215" t="s">
        <v>486</v>
      </c>
      <c r="B134" s="216">
        <f>B133/B$166</f>
        <v>0</v>
      </c>
      <c r="C134" s="216">
        <f>C133/C$166</f>
        <v>0</v>
      </c>
      <c r="D134" s="216">
        <f>D133/D$166</f>
        <v>0</v>
      </c>
      <c r="E134" s="247">
        <v>0</v>
      </c>
      <c r="F134" s="247">
        <f>E134</f>
        <v>0</v>
      </c>
      <c r="G134" s="247">
        <f>F134</f>
        <v>0</v>
      </c>
      <c r="H134" s="247">
        <f>G134</f>
        <v>0</v>
      </c>
      <c r="I134" s="247">
        <f>H134</f>
        <v>0</v>
      </c>
      <c r="J134" s="243"/>
    </row>
    <row r="135" spans="1:15">
      <c r="A135" s="215" t="s">
        <v>487</v>
      </c>
      <c r="B135" s="216"/>
      <c r="C135" s="216" t="str">
        <f>IF(ISERROR(C133/B133-1),"",C133/B133-1)</f>
        <v/>
      </c>
      <c r="D135" s="216" t="str">
        <f>IF(ISERROR(D133/C133-1),"",D133/C133-1)</f>
        <v/>
      </c>
      <c r="E135" s="219" t="s">
        <v>22</v>
      </c>
      <c r="F135" s="220"/>
      <c r="G135" s="220"/>
      <c r="H135" s="220"/>
      <c r="I135" s="220"/>
      <c r="J135" s="229"/>
    </row>
    <row r="136" spans="1:15">
      <c r="A136" s="210" t="str">
        <f>Data!A23</f>
        <v>Other current assets (2)</v>
      </c>
      <c r="B136" s="710">
        <f>Data!E23</f>
        <v>0</v>
      </c>
      <c r="C136" s="710">
        <f>Data!F23</f>
        <v>0</v>
      </c>
      <c r="D136" s="710">
        <f>Data!G23</f>
        <v>0</v>
      </c>
      <c r="E136" s="711">
        <f>D136*(1+E137)</f>
        <v>0</v>
      </c>
      <c r="F136" s="711">
        <f>E136*(1+F137)</f>
        <v>0</v>
      </c>
      <c r="G136" s="711">
        <f>F136*(1+G137)</f>
        <v>0</v>
      </c>
      <c r="H136" s="711">
        <f>G136*(1+H137)</f>
        <v>0</v>
      </c>
      <c r="I136" s="711">
        <f>H136*(1+I137)</f>
        <v>0</v>
      </c>
      <c r="J136" s="712">
        <f>I136*$J$109</f>
        <v>0</v>
      </c>
    </row>
    <row r="137" spans="1:15">
      <c r="A137" s="215" t="s">
        <v>486</v>
      </c>
      <c r="B137" s="216">
        <f>B136/B$166</f>
        <v>0</v>
      </c>
      <c r="C137" s="216">
        <f>C136/C$166</f>
        <v>0</v>
      </c>
      <c r="D137" s="216">
        <f>D136/D$166</f>
        <v>0</v>
      </c>
      <c r="E137" s="247">
        <v>0</v>
      </c>
      <c r="F137" s="247">
        <f>E137</f>
        <v>0</v>
      </c>
      <c r="G137" s="247">
        <f>F137</f>
        <v>0</v>
      </c>
      <c r="H137" s="247">
        <f>G137</f>
        <v>0</v>
      </c>
      <c r="I137" s="247">
        <f>H137</f>
        <v>0</v>
      </c>
      <c r="J137" s="248"/>
    </row>
    <row r="138" spans="1:15">
      <c r="A138" s="215" t="s">
        <v>487</v>
      </c>
      <c r="B138" s="216"/>
      <c r="C138" s="216" t="str">
        <f>IF(ISERROR(C136/B136-1),"",C136/B136-1)</f>
        <v/>
      </c>
      <c r="D138" s="216" t="str">
        <f>IF(ISERROR(D136/C136-1),"",D136/C136-1)</f>
        <v/>
      </c>
      <c r="E138" s="219" t="s">
        <v>22</v>
      </c>
      <c r="F138" s="220"/>
      <c r="G138" s="220"/>
      <c r="H138" s="220"/>
      <c r="I138" s="220"/>
      <c r="J138" s="249"/>
    </row>
    <row r="139" spans="1:15">
      <c r="A139" s="223" t="str">
        <f>Data!A24</f>
        <v xml:space="preserve">  Current Assets</v>
      </c>
      <c r="B139" s="713">
        <f>B115+B118+B121+B124+B127+B130+B133+B136</f>
        <v>5471.4</v>
      </c>
      <c r="C139" s="713">
        <f t="shared" ref="C139:I139" si="23">C115+C118+C121+C124+C127+C130+C133+C136</f>
        <v>4168.7</v>
      </c>
      <c r="D139" s="713">
        <f t="shared" si="23"/>
        <v>4352.7699999999995</v>
      </c>
      <c r="E139" s="713">
        <f>E115+E118+E121+E124+E127+E130+E133+E136</f>
        <v>4370.1565320012287</v>
      </c>
      <c r="F139" s="713">
        <f t="shared" si="23"/>
        <v>4749.9916330083779</v>
      </c>
      <c r="G139" s="713">
        <f t="shared" si="23"/>
        <v>5238.878011121169</v>
      </c>
      <c r="H139" s="713">
        <f t="shared" si="23"/>
        <v>5769.5265943161594</v>
      </c>
      <c r="I139" s="713">
        <f t="shared" si="23"/>
        <v>6345.4343902421024</v>
      </c>
      <c r="J139" s="713">
        <f>J115+J118+J121+J124+J127+J130+J133+J136</f>
        <v>6535.7974219493653</v>
      </c>
    </row>
    <row r="140" spans="1:15">
      <c r="A140" s="215" t="s">
        <v>486</v>
      </c>
      <c r="B140" s="216">
        <f>B139/B$166</f>
        <v>0.47508400843991777</v>
      </c>
      <c r="C140" s="216">
        <f>C139/C$166</f>
        <v>0.38768146267518538</v>
      </c>
      <c r="D140" s="216">
        <f>D139/D$166</f>
        <v>0.34972766722614268</v>
      </c>
      <c r="E140" s="221">
        <f t="shared" ref="E140:J140" si="24">E139/E166</f>
        <v>0.34064546582633054</v>
      </c>
      <c r="F140" s="221">
        <f t="shared" si="24"/>
        <v>0.35080916946984514</v>
      </c>
      <c r="G140" s="221">
        <f t="shared" si="24"/>
        <v>0.36141474277431807</v>
      </c>
      <c r="H140" s="221">
        <f t="shared" si="24"/>
        <v>0.36990038022854133</v>
      </c>
      <c r="I140" s="221">
        <f t="shared" si="24"/>
        <v>0.36152093865295987</v>
      </c>
      <c r="J140" s="221">
        <f t="shared" si="24"/>
        <v>0.36152093865295981</v>
      </c>
    </row>
    <row r="141" spans="1:15">
      <c r="A141" s="215" t="s">
        <v>487</v>
      </c>
      <c r="B141" s="216"/>
      <c r="C141" s="216">
        <f>IF(ISERROR(C139/B139-1),"",C139/B139-1)</f>
        <v>-0.23809262711554624</v>
      </c>
      <c r="D141" s="216">
        <f>IF(ISERROR(D139/C139-1),"",D139/C139-1)</f>
        <v>4.4155252236908415E-2</v>
      </c>
      <c r="E141" s="216">
        <f t="shared" ref="E141:J141" si="25">IF(ISERROR(E139/D139-1),"",E139/D139-1)</f>
        <v>3.9943603731025235E-3</v>
      </c>
      <c r="F141" s="216">
        <f t="shared" si="25"/>
        <v>8.6915674124196984E-2</v>
      </c>
      <c r="G141" s="216">
        <f t="shared" si="25"/>
        <v>0.10292362932082844</v>
      </c>
      <c r="H141" s="216">
        <f t="shared" si="25"/>
        <v>0.10129050191062317</v>
      </c>
      <c r="I141" s="216">
        <f t="shared" si="25"/>
        <v>9.9818899611849865E-2</v>
      </c>
      <c r="J141" s="216">
        <f t="shared" si="25"/>
        <v>3.0000000000000027E-2</v>
      </c>
    </row>
    <row r="142" spans="1:15">
      <c r="A142" s="223" t="str">
        <f>Data!A25</f>
        <v>Long-term investments</v>
      </c>
      <c r="B142" s="409">
        <f>Data!E25</f>
        <v>58.3</v>
      </c>
      <c r="C142" s="759">
        <f>Data!F25</f>
        <v>318.39999999999998</v>
      </c>
      <c r="D142" s="409">
        <f>Data!G25</f>
        <v>312.5</v>
      </c>
      <c r="E142" s="711">
        <f>D142*(1+E143)</f>
        <v>321.875</v>
      </c>
      <c r="F142" s="711">
        <f>E142*(1+F143)</f>
        <v>331.53125</v>
      </c>
      <c r="G142" s="711">
        <f>F142*(1+G143)</f>
        <v>341.47718750000001</v>
      </c>
      <c r="H142" s="711">
        <f>G142*(1+H143)</f>
        <v>351.72150312500003</v>
      </c>
      <c r="I142" s="711">
        <f>H142*(1+I143)</f>
        <v>362.27314821875001</v>
      </c>
      <c r="J142" s="712">
        <f>I142*$J$109</f>
        <v>373.14134266531249</v>
      </c>
      <c r="L142" s="245"/>
      <c r="M142" s="245"/>
      <c r="N142" s="245"/>
      <c r="O142" s="245"/>
    </row>
    <row r="143" spans="1:15">
      <c r="A143" s="215" t="s">
        <v>486</v>
      </c>
      <c r="B143" s="216">
        <f t="shared" ref="B143:C143" si="26">B142/B$166</f>
        <v>5.0622140022749586E-3</v>
      </c>
      <c r="C143" s="216">
        <f t="shared" si="26"/>
        <v>2.9610616670851589E-2</v>
      </c>
      <c r="D143" s="216">
        <f>D142/D$166</f>
        <v>2.5108125632222606E-2</v>
      </c>
      <c r="E143" s="228">
        <v>0.03</v>
      </c>
      <c r="F143" s="228">
        <f>E143</f>
        <v>0.03</v>
      </c>
      <c r="G143" s="228">
        <f>F143</f>
        <v>0.03</v>
      </c>
      <c r="H143" s="228">
        <f>G143</f>
        <v>0.03</v>
      </c>
      <c r="I143" s="228">
        <f>H143</f>
        <v>0.03</v>
      </c>
      <c r="J143" s="243"/>
    </row>
    <row r="144" spans="1:15">
      <c r="A144" s="215" t="s">
        <v>487</v>
      </c>
      <c r="B144" s="216" t="str">
        <f t="shared" ref="B144:C144" si="27">IF(ISERROR(B142/A142-1),"",B142/A142-1)</f>
        <v/>
      </c>
      <c r="C144" s="216">
        <f t="shared" si="27"/>
        <v>4.4614065180102918</v>
      </c>
      <c r="D144" s="216">
        <f>IF(ISERROR(D142/C142-1),"",D142/C142-1)</f>
        <v>-1.8530150753768737E-2</v>
      </c>
      <c r="E144" s="219" t="s">
        <v>880</v>
      </c>
      <c r="F144" s="220"/>
      <c r="G144" s="220"/>
      <c r="H144" s="220"/>
      <c r="I144" s="220"/>
      <c r="J144" s="229"/>
    </row>
    <row r="145" spans="1:10">
      <c r="A145" s="223" t="str">
        <f>Data!A26</f>
        <v xml:space="preserve">Equity and cost investments </v>
      </c>
      <c r="B145" s="409">
        <f>Data!E26</f>
        <v>496.5</v>
      </c>
      <c r="C145" s="759">
        <f>Data!F26</f>
        <v>514.9</v>
      </c>
      <c r="D145" s="409">
        <f>Data!G26</f>
        <v>352</v>
      </c>
      <c r="E145" s="711">
        <f>D145*(1+E146)</f>
        <v>369.6</v>
      </c>
      <c r="F145" s="711">
        <f>E145*(1+F146)</f>
        <v>388.08000000000004</v>
      </c>
      <c r="G145" s="711">
        <f>F145*(1+G146)</f>
        <v>407.48400000000004</v>
      </c>
      <c r="H145" s="711">
        <f>G145*(1+H146)</f>
        <v>427.85820000000007</v>
      </c>
      <c r="I145" s="711">
        <f>H145*(1+I146)</f>
        <v>449.2511100000001</v>
      </c>
      <c r="J145" s="712">
        <f>I145*$J$109</f>
        <v>462.7286433000001</v>
      </c>
    </row>
    <row r="146" spans="1:10">
      <c r="A146" s="215" t="s">
        <v>486</v>
      </c>
      <c r="B146" s="216">
        <f t="shared" ref="B146:C146" si="28">B145/B$166</f>
        <v>4.3111307926749859E-2</v>
      </c>
      <c r="C146" s="216">
        <f t="shared" si="28"/>
        <v>4.7884756670293606E-2</v>
      </c>
      <c r="D146" s="216">
        <f>D145/D$166</f>
        <v>2.8281792712135545E-2</v>
      </c>
      <c r="E146" s="228">
        <v>0.05</v>
      </c>
      <c r="F146" s="228">
        <f>E146</f>
        <v>0.05</v>
      </c>
      <c r="G146" s="228">
        <f>F146</f>
        <v>0.05</v>
      </c>
      <c r="H146" s="228">
        <f>G146</f>
        <v>0.05</v>
      </c>
      <c r="I146" s="228">
        <f>H146</f>
        <v>0.05</v>
      </c>
      <c r="J146" s="243"/>
    </row>
    <row r="147" spans="1:10">
      <c r="A147" s="215" t="s">
        <v>487</v>
      </c>
      <c r="B147" s="216" t="str">
        <f t="shared" ref="B147:C147" si="29">IF(ISERROR(B145/A145-1),"",B145/A145-1)</f>
        <v/>
      </c>
      <c r="C147" s="216">
        <f t="shared" si="29"/>
        <v>3.7059415911379512E-2</v>
      </c>
      <c r="D147" s="216">
        <f>IF(ISERROR(D145/C145-1),"",D145/C145-1)</f>
        <v>-0.31637211108953189</v>
      </c>
      <c r="E147" s="219" t="s">
        <v>831</v>
      </c>
      <c r="F147" s="220"/>
      <c r="G147" s="220"/>
      <c r="H147" s="220"/>
      <c r="I147" s="220"/>
      <c r="J147" s="250"/>
    </row>
    <row r="148" spans="1:10">
      <c r="A148" s="223" t="str">
        <f>Data!A27</f>
        <v>Property, plant, and equipment - at cost</v>
      </c>
      <c r="B148" s="409">
        <f>Data!E27</f>
        <v>7782.1</v>
      </c>
      <c r="C148" s="759">
        <f>Data!F27</f>
        <v>8581.1</v>
      </c>
      <c r="D148" s="409">
        <f>Data!G27</f>
        <v>9641.7999999999993</v>
      </c>
      <c r="E148" s="711">
        <f>'Forecast Development'!E208</f>
        <v>11041.8</v>
      </c>
      <c r="F148" s="711">
        <f>'Forecast Development'!F208</f>
        <v>12541.8</v>
      </c>
      <c r="G148" s="711">
        <f>'Forecast Development'!G208</f>
        <v>14341.8</v>
      </c>
      <c r="H148" s="711">
        <f>'Forecast Development'!H208</f>
        <v>16441.8</v>
      </c>
      <c r="I148" s="711">
        <f>'Forecast Development'!I208</f>
        <v>18841.8</v>
      </c>
      <c r="J148" s="712">
        <f>I148*$J$109</f>
        <v>19407.054</v>
      </c>
    </row>
    <row r="149" spans="1:10">
      <c r="A149" s="215" t="s">
        <v>486</v>
      </c>
      <c r="B149" s="216">
        <f t="shared" ref="B149:C149" si="30">B148/B$166</f>
        <v>0.67572308039629425</v>
      </c>
      <c r="C149" s="216">
        <f t="shared" si="30"/>
        <v>0.79802657887639628</v>
      </c>
      <c r="D149" s="216">
        <f>D148/D$166</f>
        <v>0.77468008230644447</v>
      </c>
      <c r="E149" s="225"/>
      <c r="F149" s="225"/>
      <c r="G149" s="225"/>
      <c r="H149" s="225"/>
      <c r="I149" s="225"/>
      <c r="J149" s="243"/>
    </row>
    <row r="150" spans="1:10">
      <c r="A150" s="215" t="s">
        <v>487</v>
      </c>
      <c r="B150" s="216" t="str">
        <f t="shared" ref="B150:C150" si="31">IF(ISERROR(B148/A148-1),"",B148/A148-1)</f>
        <v/>
      </c>
      <c r="C150" s="216">
        <f t="shared" si="31"/>
        <v>0.10267151540072739</v>
      </c>
      <c r="D150" s="216">
        <f>IF(ISERROR(D148/C148-1),"",D148/C148-1)</f>
        <v>0.12360886133479387</v>
      </c>
      <c r="E150" s="219" t="s">
        <v>160</v>
      </c>
      <c r="F150" s="220"/>
      <c r="G150" s="220"/>
      <c r="H150" s="220"/>
      <c r="I150" s="220"/>
      <c r="J150" s="244"/>
    </row>
    <row r="151" spans="1:10">
      <c r="A151" s="223" t="str">
        <f>Data!A28</f>
        <v>&lt;Accumulated depreciation&gt;</v>
      </c>
      <c r="B151" s="409">
        <f>Data!E28</f>
        <v>-4581.6000000000004</v>
      </c>
      <c r="C151" s="759">
        <f>Data!F28</f>
        <v>-5062.1000000000004</v>
      </c>
      <c r="D151" s="409">
        <f>Data!G28</f>
        <v>-5553.5</v>
      </c>
      <c r="E151" s="711">
        <f>'Forecast Development'!E213</f>
        <v>-6657.68</v>
      </c>
      <c r="F151" s="711">
        <f>'Forecast Development'!F213</f>
        <v>-7911.8600000000006</v>
      </c>
      <c r="G151" s="711">
        <f>'Forecast Development'!G213</f>
        <v>-9346.0400000000009</v>
      </c>
      <c r="H151" s="711">
        <f>'Forecast Development'!H213</f>
        <v>-10990.220000000001</v>
      </c>
      <c r="I151" s="711">
        <f>'Forecast Development'!I213</f>
        <v>-12141.800000000001</v>
      </c>
      <c r="J151" s="712">
        <f>I151*$J$109</f>
        <v>-12506.054000000002</v>
      </c>
    </row>
    <row r="152" spans="1:10">
      <c r="A152" s="215" t="s">
        <v>486</v>
      </c>
      <c r="B152" s="216">
        <f t="shared" ref="B152:C152" si="32">B151/B$166</f>
        <v>-0.39782229284430448</v>
      </c>
      <c r="C152" s="216">
        <f t="shared" si="32"/>
        <v>-0.47076602590928973</v>
      </c>
      <c r="D152" s="216">
        <f>D151/D$166</f>
        <v>-0.44620152223535442</v>
      </c>
      <c r="E152" s="225"/>
      <c r="F152" s="225"/>
      <c r="G152" s="225"/>
      <c r="H152" s="225"/>
      <c r="I152" s="225"/>
      <c r="J152" s="243"/>
    </row>
    <row r="153" spans="1:10">
      <c r="A153" s="215" t="s">
        <v>487</v>
      </c>
      <c r="B153" s="216" t="str">
        <f t="shared" ref="B153:C153" si="33">IF(ISERROR(B151/A151-1),"",B151/A151-1)</f>
        <v/>
      </c>
      <c r="C153" s="216">
        <f t="shared" si="33"/>
        <v>0.10487602584250033</v>
      </c>
      <c r="D153" s="216">
        <f>IF(ISERROR(D151/C151-1),"",D151/C151-1)</f>
        <v>9.707433673771737E-2</v>
      </c>
      <c r="E153" s="219" t="s">
        <v>161</v>
      </c>
      <c r="F153" s="220"/>
      <c r="G153" s="220"/>
      <c r="H153" s="220"/>
      <c r="I153" s="220"/>
      <c r="J153" s="244"/>
    </row>
    <row r="154" spans="1:10">
      <c r="A154" s="223" t="str">
        <f>Data!A29</f>
        <v>Deferred income taxes - noncurrent</v>
      </c>
      <c r="B154" s="409">
        <f>Data!E29</f>
        <v>967</v>
      </c>
      <c r="C154" s="759">
        <f>Data!F29</f>
        <v>903.3</v>
      </c>
      <c r="D154" s="409">
        <f>Data!G29</f>
        <v>828.9</v>
      </c>
      <c r="E154" s="711">
        <f>D154*(1+E155)</f>
        <v>746.01</v>
      </c>
      <c r="F154" s="711">
        <f>E154*(1+F155)</f>
        <v>671.40899999999999</v>
      </c>
      <c r="G154" s="711">
        <f>F154*(1+G155)</f>
        <v>604.2681</v>
      </c>
      <c r="H154" s="711">
        <f>G154*(1+H155)</f>
        <v>543.84129000000007</v>
      </c>
      <c r="I154" s="711">
        <f>H154*(1+I155)</f>
        <v>489.4571610000001</v>
      </c>
      <c r="J154" s="712">
        <f>I154*$J$109</f>
        <v>504.14087583000014</v>
      </c>
    </row>
    <row r="155" spans="1:10">
      <c r="A155" s="215" t="s">
        <v>486</v>
      </c>
      <c r="B155" s="216">
        <f t="shared" ref="B155:C155" si="34">B154/B$166</f>
        <v>8.3965024703257035E-2</v>
      </c>
      <c r="C155" s="216">
        <f t="shared" si="34"/>
        <v>8.4005245096671607E-2</v>
      </c>
      <c r="D155" s="216">
        <f>D154/D$166</f>
        <v>6.6598801076957814E-2</v>
      </c>
      <c r="E155" s="228">
        <v>-0.1</v>
      </c>
      <c r="F155" s="228">
        <v>-0.1</v>
      </c>
      <c r="G155" s="228">
        <v>-0.1</v>
      </c>
      <c r="H155" s="228">
        <v>-0.1</v>
      </c>
      <c r="I155" s="228">
        <v>-0.1</v>
      </c>
      <c r="J155" s="243"/>
    </row>
    <row r="156" spans="1:10">
      <c r="A156" s="215" t="s">
        <v>487</v>
      </c>
      <c r="B156" s="216" t="str">
        <f t="shared" ref="B156:C156" si="35">IF(ISERROR(B154/A154-1),"",B154/A154-1)</f>
        <v/>
      </c>
      <c r="C156" s="216">
        <f t="shared" si="35"/>
        <v>-6.5873836608066227E-2</v>
      </c>
      <c r="D156" s="216">
        <f>IF(ISERROR(D154/C154-1),"",D154/C154-1)</f>
        <v>-8.2364662902690067E-2</v>
      </c>
      <c r="E156" s="219" t="s">
        <v>879</v>
      </c>
      <c r="F156" s="220"/>
      <c r="G156" s="220"/>
      <c r="H156" s="220"/>
      <c r="I156" s="220"/>
      <c r="J156" s="244"/>
    </row>
    <row r="157" spans="1:10">
      <c r="A157" s="223" t="str">
        <f>Data!A30</f>
        <v>Other assets</v>
      </c>
      <c r="B157" s="409">
        <f>Data!E30</f>
        <v>185.3</v>
      </c>
      <c r="C157" s="409">
        <f>Data!F30</f>
        <v>198.9</v>
      </c>
      <c r="D157" s="409">
        <f>Data!G30</f>
        <v>415.9</v>
      </c>
      <c r="E157" s="711">
        <f>D157*(1+E158)</f>
        <v>436.69499999999999</v>
      </c>
      <c r="F157" s="711">
        <f>E157*(1+F158)</f>
        <v>458.52975000000004</v>
      </c>
      <c r="G157" s="711">
        <f>F157*(1+G158)</f>
        <v>481.45623750000004</v>
      </c>
      <c r="H157" s="711">
        <f>G157*(1+H158)</f>
        <v>505.52904937500006</v>
      </c>
      <c r="I157" s="711">
        <f>H157*(1+I158)</f>
        <v>530.80550184375011</v>
      </c>
      <c r="J157" s="712">
        <f>I157*$J$109</f>
        <v>546.72966689906264</v>
      </c>
    </row>
    <row r="158" spans="1:10">
      <c r="A158" s="215" t="s">
        <v>486</v>
      </c>
      <c r="B158" s="216">
        <f t="shared" ref="B158:C158" si="36">B157/B$166</f>
        <v>1.6089678466921952E-2</v>
      </c>
      <c r="C158" s="216">
        <f t="shared" si="36"/>
        <v>1.8497335602488636E-2</v>
      </c>
      <c r="D158" s="216">
        <f>D157/D$166</f>
        <v>3.3415902241412422E-2</v>
      </c>
      <c r="E158" s="228">
        <v>0.05</v>
      </c>
      <c r="F158" s="228">
        <f>E158</f>
        <v>0.05</v>
      </c>
      <c r="G158" s="228">
        <f>F158</f>
        <v>0.05</v>
      </c>
      <c r="H158" s="228">
        <f>G158</f>
        <v>0.05</v>
      </c>
      <c r="I158" s="228">
        <f>H158</f>
        <v>0.05</v>
      </c>
      <c r="J158" s="243"/>
    </row>
    <row r="159" spans="1:10">
      <c r="A159" s="215" t="s">
        <v>487</v>
      </c>
      <c r="B159" s="216" t="str">
        <f t="shared" ref="B159:C159" si="37">IF(ISERROR(B157/A157-1),"",B157/A157-1)</f>
        <v/>
      </c>
      <c r="C159" s="216">
        <f t="shared" si="37"/>
        <v>7.3394495412844041E-2</v>
      </c>
      <c r="D159" s="216">
        <f>IF(ISERROR(D157/C157-1),"",D157/C157-1)</f>
        <v>1.0910005027652083</v>
      </c>
      <c r="E159" s="219" t="s">
        <v>881</v>
      </c>
      <c r="F159" s="220"/>
      <c r="G159" s="220"/>
      <c r="H159" s="220"/>
      <c r="I159" s="220"/>
      <c r="J159" s="244"/>
    </row>
    <row r="160" spans="1:10">
      <c r="A160" s="223" t="str">
        <f>Data!A31</f>
        <v>Other intangible assets</v>
      </c>
      <c r="B160" s="409">
        <f>Data!E31</f>
        <v>274.8</v>
      </c>
      <c r="C160" s="409">
        <f>Data!F31</f>
        <v>273.5</v>
      </c>
      <c r="D160" s="409">
        <f>Data!G31</f>
        <v>520.4</v>
      </c>
      <c r="E160" s="711">
        <f>D160*(1+E161)</f>
        <v>546.41999999999996</v>
      </c>
      <c r="F160" s="711">
        <f>E160*(1+F161)</f>
        <v>573.74099999999999</v>
      </c>
      <c r="G160" s="711">
        <f>F160*(1+G161)</f>
        <v>602.42804999999998</v>
      </c>
      <c r="H160" s="711">
        <f>G160*(1+H161)</f>
        <v>632.54945250000003</v>
      </c>
      <c r="I160" s="711">
        <f>H160*(1+I161)</f>
        <v>664.17692512500003</v>
      </c>
      <c r="J160" s="712">
        <f>I160*$J$109</f>
        <v>684.10223287874999</v>
      </c>
    </row>
    <row r="161" spans="1:12">
      <c r="A161" s="215" t="s">
        <v>486</v>
      </c>
      <c r="B161" s="216">
        <f t="shared" ref="B161:C161" si="38">B160/B$166</f>
        <v>2.3861001849488143E-2</v>
      </c>
      <c r="C161" s="216">
        <f t="shared" si="38"/>
        <v>2.5434998930521074E-2</v>
      </c>
      <c r="D161" s="216">
        <f>D160/D$166</f>
        <v>4.1812059452827663E-2</v>
      </c>
      <c r="E161" s="228">
        <v>0.05</v>
      </c>
      <c r="F161" s="228">
        <f>E161</f>
        <v>0.05</v>
      </c>
      <c r="G161" s="228">
        <f>F161</f>
        <v>0.05</v>
      </c>
      <c r="H161" s="228">
        <f>G161</f>
        <v>0.05</v>
      </c>
      <c r="I161" s="228">
        <f>H161</f>
        <v>0.05</v>
      </c>
      <c r="J161" s="243"/>
    </row>
    <row r="162" spans="1:12">
      <c r="A162" s="215" t="s">
        <v>487</v>
      </c>
      <c r="B162" s="216" t="str">
        <f t="shared" ref="B162:C162" si="39">IF(ISERROR(B160/A160-1),"",B160/A160-1)</f>
        <v/>
      </c>
      <c r="C162" s="216">
        <f t="shared" si="39"/>
        <v>-4.7307132459971646E-3</v>
      </c>
      <c r="D162" s="216">
        <f>IF(ISERROR(D160/C160-1),"",D160/C160-1)</f>
        <v>0.90274223034734913</v>
      </c>
      <c r="E162" s="219" t="s">
        <v>881</v>
      </c>
      <c r="F162" s="220"/>
      <c r="G162" s="220"/>
      <c r="H162" s="220"/>
      <c r="I162" s="220"/>
      <c r="J162" s="244"/>
    </row>
    <row r="163" spans="1:12">
      <c r="A163" s="223" t="str">
        <f>Data!A32</f>
        <v xml:space="preserve">Goodwill </v>
      </c>
      <c r="B163" s="409">
        <f>Data!E32</f>
        <v>862.9</v>
      </c>
      <c r="C163" s="409">
        <f>Data!F32</f>
        <v>856.2</v>
      </c>
      <c r="D163" s="409">
        <f>Data!G32</f>
        <v>1575.4</v>
      </c>
      <c r="E163" s="711">
        <f>D163*(1+E164)</f>
        <v>1654.17</v>
      </c>
      <c r="F163" s="711">
        <f>E163*(1+F164)</f>
        <v>1736.8785000000003</v>
      </c>
      <c r="G163" s="711">
        <f>F163*(1+G164)</f>
        <v>1823.7224250000004</v>
      </c>
      <c r="H163" s="711">
        <f>G163*(1+H164)</f>
        <v>1914.9085462500004</v>
      </c>
      <c r="I163" s="711">
        <f>H163*(1+I164)</f>
        <v>2010.6539735625006</v>
      </c>
      <c r="J163" s="712">
        <f>I163*$J$109</f>
        <v>2070.9735927693755</v>
      </c>
    </row>
    <row r="164" spans="1:12">
      <c r="A164" s="215" t="s">
        <v>486</v>
      </c>
      <c r="B164" s="216">
        <f>B163/B$166</f>
        <v>7.4925977059400711E-2</v>
      </c>
      <c r="C164" s="216">
        <f>C163/C$166</f>
        <v>7.9625031386881692E-2</v>
      </c>
      <c r="D164" s="216">
        <f>D163/D$166</f>
        <v>0.1265770915872112</v>
      </c>
      <c r="E164" s="228">
        <v>0.05</v>
      </c>
      <c r="F164" s="228">
        <f>E164</f>
        <v>0.05</v>
      </c>
      <c r="G164" s="228">
        <f>F164</f>
        <v>0.05</v>
      </c>
      <c r="H164" s="228">
        <f>G164</f>
        <v>0.05</v>
      </c>
      <c r="I164" s="228">
        <f>H164</f>
        <v>0.05</v>
      </c>
      <c r="J164" s="248"/>
    </row>
    <row r="165" spans="1:12">
      <c r="A165" s="215" t="s">
        <v>487</v>
      </c>
      <c r="B165" s="216"/>
      <c r="C165" s="216">
        <f>IF(ISERROR(C163/B163-1),"",C163/B163-1)</f>
        <v>-7.764515007532613E-3</v>
      </c>
      <c r="D165" s="216">
        <f>IF(ISERROR(D163/C163-1),"",D163/C163-1)</f>
        <v>0.8399906563886943</v>
      </c>
      <c r="E165" s="219" t="s">
        <v>881</v>
      </c>
      <c r="F165" s="220"/>
      <c r="G165" s="220"/>
      <c r="H165" s="220"/>
      <c r="I165" s="220"/>
      <c r="J165" s="249"/>
    </row>
    <row r="166" spans="1:12" ht="13.5" thickBot="1">
      <c r="A166" s="223" t="str">
        <f>Data!A33</f>
        <v xml:space="preserve">   Total Assets</v>
      </c>
      <c r="B166" s="714">
        <f>B139+B142+B145+B148+B151+B154+B157+B160+B163</f>
        <v>11516.699999999997</v>
      </c>
      <c r="C166" s="714">
        <f t="shared" ref="C166:J166" si="40">C139+C142+C145+C148+C151+C154+C157+C160+C163</f>
        <v>10752.899999999998</v>
      </c>
      <c r="D166" s="714">
        <f t="shared" si="40"/>
        <v>12446.169999999998</v>
      </c>
      <c r="E166" s="714">
        <f>E139+E142+E145+E148+E151+E154+E157+E160+E163</f>
        <v>12829.046532001228</v>
      </c>
      <c r="F166" s="714">
        <f t="shared" si="40"/>
        <v>13540.101133008377</v>
      </c>
      <c r="G166" s="714">
        <f t="shared" si="40"/>
        <v>14495.474011121167</v>
      </c>
      <c r="H166" s="714">
        <f t="shared" si="40"/>
        <v>15597.514635566156</v>
      </c>
      <c r="I166" s="714">
        <f t="shared" si="40"/>
        <v>17552.0522099921</v>
      </c>
      <c r="J166" s="714">
        <f t="shared" si="40"/>
        <v>18078.613776291866</v>
      </c>
    </row>
    <row r="167" spans="1:12" ht="13.5" thickTop="1">
      <c r="A167" s="215" t="s">
        <v>486</v>
      </c>
      <c r="B167" s="216">
        <f t="shared" ref="B167:J167" si="41">B166/B$166</f>
        <v>1</v>
      </c>
      <c r="C167" s="216">
        <f t="shared" si="41"/>
        <v>1</v>
      </c>
      <c r="D167" s="216">
        <f t="shared" si="41"/>
        <v>1</v>
      </c>
      <c r="E167" s="216">
        <f t="shared" si="41"/>
        <v>1</v>
      </c>
      <c r="F167" s="216">
        <f t="shared" si="41"/>
        <v>1</v>
      </c>
      <c r="G167" s="216">
        <f t="shared" si="41"/>
        <v>1</v>
      </c>
      <c r="H167" s="216">
        <f t="shared" si="41"/>
        <v>1</v>
      </c>
      <c r="I167" s="216">
        <f t="shared" si="41"/>
        <v>1</v>
      </c>
      <c r="J167" s="216">
        <f t="shared" si="41"/>
        <v>1</v>
      </c>
    </row>
    <row r="168" spans="1:12">
      <c r="A168" s="215" t="s">
        <v>487</v>
      </c>
      <c r="B168" s="216"/>
      <c r="C168" s="216">
        <f t="shared" ref="C168:J168" si="42">IF(ISERROR(C166/B166-1),"",C166/B166-1)</f>
        <v>-6.6321081559821748E-2</v>
      </c>
      <c r="D168" s="216">
        <f t="shared" si="42"/>
        <v>0.15747100782114609</v>
      </c>
      <c r="E168" s="216">
        <f t="shared" si="42"/>
        <v>3.076259861477304E-2</v>
      </c>
      <c r="F168" s="216">
        <f t="shared" si="42"/>
        <v>5.5425366120036124E-2</v>
      </c>
      <c r="G168" s="216">
        <f t="shared" si="42"/>
        <v>7.0558769740926008E-2</v>
      </c>
      <c r="H168" s="216">
        <f t="shared" si="42"/>
        <v>7.6026532392075241E-2</v>
      </c>
      <c r="I168" s="216">
        <f t="shared" si="42"/>
        <v>0.12531083445622282</v>
      </c>
      <c r="J168" s="216">
        <f t="shared" si="42"/>
        <v>3.0000000000000249E-2</v>
      </c>
    </row>
    <row r="169" spans="1:12">
      <c r="A169" s="210"/>
      <c r="B169" s="241"/>
      <c r="C169" s="241"/>
      <c r="D169" s="241"/>
      <c r="E169" s="50"/>
      <c r="F169" s="50"/>
      <c r="G169" s="50"/>
      <c r="H169" s="50"/>
      <c r="I169" s="50"/>
      <c r="J169" s="251"/>
      <c r="L169" s="734"/>
    </row>
    <row r="170" spans="1:12">
      <c r="A170" s="210" t="s">
        <v>458</v>
      </c>
      <c r="B170" s="241"/>
      <c r="C170" s="241"/>
      <c r="D170" s="241"/>
      <c r="E170" s="50"/>
      <c r="F170" s="50"/>
      <c r="G170" s="50"/>
      <c r="H170" s="50"/>
      <c r="I170" s="50"/>
      <c r="J170" s="251"/>
    </row>
    <row r="171" spans="1:12">
      <c r="A171" s="223" t="str">
        <f>Data!A36</f>
        <v>Accounts payable</v>
      </c>
      <c r="B171" s="710">
        <f>Data!E36</f>
        <v>491.7</v>
      </c>
      <c r="C171" s="710">
        <f>Data!F36</f>
        <v>533.70000000000005</v>
      </c>
      <c r="D171" s="710">
        <f>Data!G36</f>
        <v>684.2</v>
      </c>
      <c r="E171" s="711">
        <f>((-E24+E124-D124)/365*E172)</f>
        <v>665.46052241217558</v>
      </c>
      <c r="F171" s="711">
        <f t="shared" ref="F171:I171" si="43">((-F24+F124-E124)/365*F172)</f>
        <v>729.02853754459238</v>
      </c>
      <c r="G171" s="711">
        <f t="shared" si="43"/>
        <v>804.08933664760491</v>
      </c>
      <c r="H171" s="711">
        <f t="shared" si="43"/>
        <v>883.37884554793334</v>
      </c>
      <c r="I171" s="711">
        <f t="shared" si="43"/>
        <v>968.97010606405706</v>
      </c>
      <c r="J171" s="712">
        <f>I171*$J$109</f>
        <v>998.03920924597878</v>
      </c>
    </row>
    <row r="172" spans="1:12">
      <c r="A172" s="215" t="s">
        <v>486</v>
      </c>
      <c r="B172" s="216">
        <f>B171/B$166</f>
        <v>4.2694521868243518E-2</v>
      </c>
      <c r="C172" s="216">
        <f>C171/C$166</f>
        <v>4.9633122227492131E-2</v>
      </c>
      <c r="D172" s="216">
        <f>D171/D$166</f>
        <v>5.4972734584213472E-2</v>
      </c>
      <c r="E172" s="225">
        <v>28</v>
      </c>
      <c r="F172" s="225">
        <f>E172</f>
        <v>28</v>
      </c>
      <c r="G172" s="225">
        <f>F172</f>
        <v>28</v>
      </c>
      <c r="H172" s="225">
        <f>G172</f>
        <v>28</v>
      </c>
      <c r="I172" s="225">
        <f>H172</f>
        <v>28</v>
      </c>
      <c r="J172" s="243"/>
    </row>
    <row r="173" spans="1:12">
      <c r="A173" s="215" t="s">
        <v>487</v>
      </c>
      <c r="B173" s="216"/>
      <c r="C173" s="216">
        <f>IF(ISERROR(C171/B171-1),"",C171/B171-1)</f>
        <v>8.5417937766931074E-2</v>
      </c>
      <c r="D173" s="216">
        <f>IF(ISERROR(D171/C171-1),"",D171/C171-1)</f>
        <v>0.28199362937980132</v>
      </c>
      <c r="E173" s="219" t="s">
        <v>775</v>
      </c>
      <c r="F173" s="220"/>
      <c r="G173" s="220"/>
      <c r="H173" s="220"/>
      <c r="I173" s="220"/>
      <c r="J173" s="244"/>
    </row>
    <row r="174" spans="1:12">
      <c r="A174" s="223" t="str">
        <f>Data!A37</f>
        <v>Accrued liabilities</v>
      </c>
      <c r="B174" s="710">
        <f>Data!E37</f>
        <v>1269.3</v>
      </c>
      <c r="C174" s="710">
        <f>Data!F37</f>
        <v>1514.4</v>
      </c>
      <c r="D174" s="710">
        <f>Data!G37</f>
        <v>1760.7</v>
      </c>
      <c r="E174" s="711">
        <f>D174*(1+E175)</f>
        <v>1991.8416802415734</v>
      </c>
      <c r="F174" s="711">
        <f>E174*(1+F175)</f>
        <v>2174.8847231696554</v>
      </c>
      <c r="G174" s="711">
        <f>F174*(1+G175)</f>
        <v>2415.9507434074126</v>
      </c>
      <c r="H174" s="711">
        <f>G174*(1+H175)</f>
        <v>2679.2094638021003</v>
      </c>
      <c r="I174" s="711">
        <f>H174*(1+I175)</f>
        <v>2966.5568175636163</v>
      </c>
      <c r="J174" s="712">
        <f>I174*$J$109</f>
        <v>3055.5535220905249</v>
      </c>
    </row>
    <row r="175" spans="1:12">
      <c r="A175" s="215" t="s">
        <v>486</v>
      </c>
      <c r="B175" s="216">
        <f>B174/B$166</f>
        <v>0.11021386334627109</v>
      </c>
      <c r="C175" s="216">
        <f>C174/C$166</f>
        <v>0.14083642552241724</v>
      </c>
      <c r="D175" s="216">
        <f>D174/D$166</f>
        <v>0.1414652057620939</v>
      </c>
      <c r="E175" s="228">
        <f>E22</f>
        <v>0.13127828718212831</v>
      </c>
      <c r="F175" s="228">
        <f>F22</f>
        <v>9.1896381496486379E-2</v>
      </c>
      <c r="G175" s="228">
        <f>G22</f>
        <v>0.11084082649053228</v>
      </c>
      <c r="H175" s="228">
        <f>H22</f>
        <v>0.10896692373098316</v>
      </c>
      <c r="I175" s="228">
        <f>I22</f>
        <v>0.10725079828351225</v>
      </c>
      <c r="J175" s="243"/>
    </row>
    <row r="176" spans="1:12">
      <c r="A176" s="215" t="s">
        <v>487</v>
      </c>
      <c r="B176" s="216"/>
      <c r="C176" s="216">
        <f>IF(ISERROR(C174/B174-1),"",C174/B174-1)</f>
        <v>0.19309855826045874</v>
      </c>
      <c r="D176" s="216">
        <f>IF(ISERROR(D174/C174-1),"",D174/C174-1)</f>
        <v>0.16263866877971478</v>
      </c>
      <c r="E176" s="219" t="s">
        <v>882</v>
      </c>
      <c r="F176" s="220"/>
      <c r="G176" s="220"/>
      <c r="H176" s="220"/>
      <c r="I176" s="220"/>
      <c r="J176" s="244"/>
    </row>
    <row r="177" spans="1:10">
      <c r="A177" s="223" t="str">
        <f>Data!A38</f>
        <v>Notes payable and short-term debt</v>
      </c>
      <c r="B177" s="710">
        <f>Data!E38</f>
        <v>0</v>
      </c>
      <c r="C177" s="710">
        <f>Data!F38</f>
        <v>0</v>
      </c>
      <c r="D177" s="710">
        <f>Data!G38</f>
        <v>0</v>
      </c>
      <c r="E177" s="711">
        <f>D177*(1+E178)</f>
        <v>0</v>
      </c>
      <c r="F177" s="711">
        <f>E177*(1+F178)</f>
        <v>0</v>
      </c>
      <c r="G177" s="711">
        <f>F177*(1+G178)</f>
        <v>0</v>
      </c>
      <c r="H177" s="711">
        <f>G177*(1+H178)</f>
        <v>0</v>
      </c>
      <c r="I177" s="711">
        <f>H177*(1+I178)</f>
        <v>0</v>
      </c>
      <c r="J177" s="712">
        <f>I177*$J$109</f>
        <v>0</v>
      </c>
    </row>
    <row r="178" spans="1:10">
      <c r="A178" s="215" t="s">
        <v>486</v>
      </c>
      <c r="B178" s="216">
        <f>B177/B$166</f>
        <v>0</v>
      </c>
      <c r="C178" s="216">
        <f>C177/C$166</f>
        <v>0</v>
      </c>
      <c r="D178" s="216">
        <f>D177/D$166</f>
        <v>0</v>
      </c>
      <c r="E178" s="228">
        <v>0</v>
      </c>
      <c r="F178" s="228">
        <v>0</v>
      </c>
      <c r="G178" s="228">
        <v>0</v>
      </c>
      <c r="H178" s="228">
        <v>0</v>
      </c>
      <c r="I178" s="228">
        <v>0</v>
      </c>
      <c r="J178" s="243"/>
    </row>
    <row r="179" spans="1:10">
      <c r="A179" s="215" t="s">
        <v>487</v>
      </c>
      <c r="B179" s="216"/>
      <c r="C179" s="216" t="str">
        <f>IF(ISERROR(C177/B177-1),"",C177/B177-1)</f>
        <v/>
      </c>
      <c r="D179" s="216" t="str">
        <f>IF(ISERROR(D177/C177-1),"",D177/C177-1)</f>
        <v/>
      </c>
      <c r="E179" s="219" t="s">
        <v>769</v>
      </c>
      <c r="F179" s="220"/>
      <c r="G179" s="220"/>
      <c r="H179" s="220"/>
      <c r="I179" s="220"/>
      <c r="J179" s="229"/>
    </row>
    <row r="180" spans="1:10">
      <c r="A180" s="210" t="str">
        <f>Data!A39</f>
        <v>Current maturities of long-term debt</v>
      </c>
      <c r="B180" s="710">
        <f>Data!E39</f>
        <v>0</v>
      </c>
      <c r="C180" s="710">
        <f>Data!F39</f>
        <v>0</v>
      </c>
      <c r="D180" s="710">
        <f>Data!G39</f>
        <v>0</v>
      </c>
      <c r="E180" s="711">
        <v>400</v>
      </c>
      <c r="F180" s="711">
        <f>F181</f>
        <v>0</v>
      </c>
      <c r="G180" s="711">
        <v>350</v>
      </c>
      <c r="H180" s="711">
        <v>0</v>
      </c>
      <c r="I180" s="711">
        <f>I181</f>
        <v>0</v>
      </c>
      <c r="J180" s="712">
        <f>I180*$J$109</f>
        <v>0</v>
      </c>
    </row>
    <row r="181" spans="1:10">
      <c r="A181" s="215" t="s">
        <v>486</v>
      </c>
      <c r="B181" s="216">
        <f>B180/B$166</f>
        <v>0</v>
      </c>
      <c r="C181" s="216">
        <f>C180/C$166</f>
        <v>0</v>
      </c>
      <c r="D181" s="216">
        <f>D180/D$166</f>
        <v>0</v>
      </c>
      <c r="E181" s="566">
        <v>0</v>
      </c>
      <c r="F181" s="566">
        <v>0</v>
      </c>
      <c r="G181" s="566">
        <v>0</v>
      </c>
      <c r="H181" s="566">
        <v>0</v>
      </c>
      <c r="I181" s="566">
        <v>0</v>
      </c>
      <c r="J181" s="243"/>
    </row>
    <row r="182" spans="1:10">
      <c r="A182" s="215" t="s">
        <v>487</v>
      </c>
      <c r="B182" s="216"/>
      <c r="C182" s="216" t="str">
        <f>IF(ISERROR(C180/B180-1),"",C180/B180-1)</f>
        <v/>
      </c>
      <c r="D182" s="216" t="str">
        <f>IF(ISERROR(D180/C180-1),"",D180/C180-1)</f>
        <v/>
      </c>
      <c r="E182" s="219" t="s">
        <v>712</v>
      </c>
      <c r="F182" s="220"/>
      <c r="G182" s="220"/>
      <c r="H182" s="220"/>
      <c r="I182" s="220"/>
      <c r="J182" s="252"/>
    </row>
    <row r="183" spans="1:10">
      <c r="A183" s="223" t="str">
        <f>Data!A40</f>
        <v>Deferred tax liabilities - current</v>
      </c>
      <c r="B183" s="710">
        <f>Data!E40</f>
        <v>0</v>
      </c>
      <c r="C183" s="710">
        <f>Data!F40</f>
        <v>0</v>
      </c>
      <c r="D183" s="710">
        <f>Data!G40</f>
        <v>0</v>
      </c>
      <c r="E183" s="711">
        <f>D183*(1+E184)</f>
        <v>0</v>
      </c>
      <c r="F183" s="711">
        <f>E183*(1+F184)</f>
        <v>0</v>
      </c>
      <c r="G183" s="711">
        <f>F183*(1+G184)</f>
        <v>0</v>
      </c>
      <c r="H183" s="711">
        <f>G183*(1+H184)</f>
        <v>0</v>
      </c>
      <c r="I183" s="711">
        <f>H183*(1+I184)</f>
        <v>0</v>
      </c>
      <c r="J183" s="712">
        <f>I183*$J$109</f>
        <v>0</v>
      </c>
    </row>
    <row r="184" spans="1:10">
      <c r="A184" s="215" t="s">
        <v>486</v>
      </c>
      <c r="B184" s="216">
        <f>B183/B$166</f>
        <v>0</v>
      </c>
      <c r="C184" s="216">
        <f>C183/C$166</f>
        <v>0</v>
      </c>
      <c r="D184" s="216">
        <f>D183/D$166</f>
        <v>0</v>
      </c>
      <c r="E184" s="228">
        <v>0</v>
      </c>
      <c r="F184" s="228">
        <f>E184</f>
        <v>0</v>
      </c>
      <c r="G184" s="228">
        <f>F184</f>
        <v>0</v>
      </c>
      <c r="H184" s="228">
        <f>G184</f>
        <v>0</v>
      </c>
      <c r="I184" s="228">
        <f>H184</f>
        <v>0</v>
      </c>
      <c r="J184" s="243"/>
    </row>
    <row r="185" spans="1:10">
      <c r="A185" s="215" t="s">
        <v>487</v>
      </c>
      <c r="B185" s="216"/>
      <c r="C185" s="216" t="str">
        <f>IF(ISERROR(C183/B183-1),"",C183/B183-1)</f>
        <v/>
      </c>
      <c r="D185" s="216" t="str">
        <f>IF(ISERROR(D183/C183-1),"",D183/C183-1)</f>
        <v/>
      </c>
      <c r="E185" s="219" t="s">
        <v>22</v>
      </c>
      <c r="F185" s="220"/>
      <c r="G185" s="220"/>
      <c r="H185" s="220"/>
      <c r="I185" s="220"/>
      <c r="J185" s="229"/>
    </row>
    <row r="186" spans="1:10">
      <c r="A186" s="223" t="str">
        <f>Data!A41</f>
        <v>Insurance Reserves</v>
      </c>
      <c r="B186" s="710">
        <f>Data!E41</f>
        <v>178.5</v>
      </c>
      <c r="C186" s="710">
        <f>Data!F41</f>
        <v>196.1</v>
      </c>
      <c r="D186" s="710">
        <f>Data!G41</f>
        <v>224.8</v>
      </c>
      <c r="E186" s="711">
        <f>D186*(1+E187)</f>
        <v>231.54400000000001</v>
      </c>
      <c r="F186" s="711">
        <f>E186*(1+F187)</f>
        <v>238.49032000000003</v>
      </c>
      <c r="G186" s="711">
        <f>F186*(1+G187)</f>
        <v>245.64502960000004</v>
      </c>
      <c r="H186" s="711">
        <f>G186*(1+H187)</f>
        <v>253.01438048800006</v>
      </c>
      <c r="I186" s="711">
        <f>H186*(1+I187)</f>
        <v>260.60481190264005</v>
      </c>
      <c r="J186" s="712">
        <f>I186*$J$109</f>
        <v>268.42295625971929</v>
      </c>
    </row>
    <row r="187" spans="1:10">
      <c r="A187" s="215" t="s">
        <v>486</v>
      </c>
      <c r="B187" s="216">
        <f>B186/B$166</f>
        <v>1.5499231550704633E-2</v>
      </c>
      <c r="C187" s="216">
        <f>C186/C$166</f>
        <v>1.8236940732267577E-2</v>
      </c>
      <c r="D187" s="216">
        <f>D186/D$166</f>
        <v>1.8061781254795656E-2</v>
      </c>
      <c r="E187" s="228">
        <v>0.03</v>
      </c>
      <c r="F187" s="228">
        <f>E187</f>
        <v>0.03</v>
      </c>
      <c r="G187" s="228">
        <f>F187</f>
        <v>0.03</v>
      </c>
      <c r="H187" s="228">
        <f>G187</f>
        <v>0.03</v>
      </c>
      <c r="I187" s="228">
        <f>H187</f>
        <v>0.03</v>
      </c>
      <c r="J187" s="248"/>
    </row>
    <row r="188" spans="1:10">
      <c r="A188" s="215" t="s">
        <v>487</v>
      </c>
      <c r="B188" s="216"/>
      <c r="C188" s="216">
        <f>IF(ISERROR(C186/B186-1),"",C186/B186-1)</f>
        <v>9.8599439775910236E-2</v>
      </c>
      <c r="D188" s="216">
        <f>IF(ISERROR(D186/C186-1),"",D186/C186-1)</f>
        <v>0.14635390107088231</v>
      </c>
      <c r="E188" s="219" t="s">
        <v>830</v>
      </c>
      <c r="F188" s="220"/>
      <c r="G188" s="220"/>
      <c r="H188" s="220"/>
      <c r="I188" s="220"/>
      <c r="J188" s="249"/>
    </row>
    <row r="189" spans="1:10">
      <c r="A189" s="223" t="str">
        <f>Data!A42</f>
        <v>Stored value card liability</v>
      </c>
      <c r="B189" s="710">
        <f>Data!E42</f>
        <v>653.70000000000005</v>
      </c>
      <c r="C189" s="710">
        <f>Data!F42</f>
        <v>794.5</v>
      </c>
      <c r="D189" s="710">
        <f>Data!G42</f>
        <v>983.8</v>
      </c>
      <c r="E189" s="711">
        <f>D189*(1+E190)</f>
        <v>1112.9515789297777</v>
      </c>
      <c r="F189" s="711">
        <f>E189*(1+F190)</f>
        <v>1215.2278018142254</v>
      </c>
      <c r="G189" s="711">
        <f>F189*(1+G190)</f>
        <v>1349.9246557415868</v>
      </c>
      <c r="H189" s="711">
        <f>G189*(1+H190)</f>
        <v>1497.0217927463539</v>
      </c>
      <c r="I189" s="711">
        <f>H189*(1+I190)</f>
        <v>1657.5785750662149</v>
      </c>
      <c r="J189" s="712">
        <f>I189*$J$109</f>
        <v>1707.3059323182013</v>
      </c>
    </row>
    <row r="190" spans="1:10">
      <c r="A190" s="215" t="s">
        <v>486</v>
      </c>
      <c r="B190" s="216">
        <f>B189/B$166</f>
        <v>5.6761051342832602E-2</v>
      </c>
      <c r="C190" s="216">
        <f>C189/C$166</f>
        <v>7.388704442522484E-2</v>
      </c>
      <c r="D190" s="216">
        <f>D189/D$166</f>
        <v>7.9044396790337923E-2</v>
      </c>
      <c r="E190" s="228">
        <f>E22</f>
        <v>0.13127828718212831</v>
      </c>
      <c r="F190" s="228">
        <f>F22</f>
        <v>9.1896381496486379E-2</v>
      </c>
      <c r="G190" s="228">
        <f>G22</f>
        <v>0.11084082649053228</v>
      </c>
      <c r="H190" s="228">
        <f>H22</f>
        <v>0.10896692373098316</v>
      </c>
      <c r="I190" s="228">
        <f>I22</f>
        <v>0.10725079828351225</v>
      </c>
      <c r="J190" s="248"/>
    </row>
    <row r="191" spans="1:10">
      <c r="A191" s="215" t="s">
        <v>487</v>
      </c>
      <c r="B191" s="216"/>
      <c r="C191" s="216">
        <f>IF(ISERROR(C189/B189-1),"",C189/B189-1)</f>
        <v>0.21538932231910657</v>
      </c>
      <c r="D191" s="216">
        <f>IF(ISERROR(D189/C189-1),"",D189/C189-1)</f>
        <v>0.23826305852737573</v>
      </c>
      <c r="E191" s="219" t="s">
        <v>776</v>
      </c>
      <c r="F191" s="220"/>
      <c r="G191" s="220"/>
      <c r="H191" s="220"/>
      <c r="I191" s="220"/>
      <c r="J191" s="249"/>
    </row>
    <row r="192" spans="1:10">
      <c r="A192" s="223" t="str">
        <f>Data!A43</f>
        <v>Accrued litigation charge</v>
      </c>
      <c r="B192" s="710">
        <f>Data!E43</f>
        <v>2784.1</v>
      </c>
      <c r="C192" s="710">
        <f>Data!F43</f>
        <v>0</v>
      </c>
      <c r="D192" s="710">
        <f>Data!G43</f>
        <v>0</v>
      </c>
      <c r="E192" s="711">
        <f>D192*(1+E193)</f>
        <v>0</v>
      </c>
      <c r="F192" s="711">
        <f>E192*(1+F193)</f>
        <v>0</v>
      </c>
      <c r="G192" s="711">
        <f>F192*(1+G193)</f>
        <v>0</v>
      </c>
      <c r="H192" s="711">
        <f>G192*(1+H193)</f>
        <v>0</v>
      </c>
      <c r="I192" s="711">
        <f>H192*(1+I193)</f>
        <v>0</v>
      </c>
      <c r="J192" s="712">
        <f>I192*$J$109</f>
        <v>0</v>
      </c>
    </row>
    <row r="193" spans="1:10">
      <c r="A193" s="215" t="s">
        <v>486</v>
      </c>
      <c r="B193" s="216">
        <f>B192/B$166</f>
        <v>0.24174459697656453</v>
      </c>
      <c r="C193" s="216">
        <f>C192/C$166</f>
        <v>0</v>
      </c>
      <c r="D193" s="216">
        <f>D192/D$166</f>
        <v>0</v>
      </c>
      <c r="E193" s="228">
        <v>0</v>
      </c>
      <c r="F193" s="228">
        <f>E193</f>
        <v>0</v>
      </c>
      <c r="G193" s="228">
        <f>F193</f>
        <v>0</v>
      </c>
      <c r="H193" s="228">
        <f>G193</f>
        <v>0</v>
      </c>
      <c r="I193" s="228">
        <f>H193</f>
        <v>0</v>
      </c>
      <c r="J193" s="248"/>
    </row>
    <row r="194" spans="1:10">
      <c r="A194" s="215" t="s">
        <v>487</v>
      </c>
      <c r="B194" s="216"/>
      <c r="C194" s="216">
        <f>IF(ISERROR(C192/B192-1),"",C192/B192-1)</f>
        <v>-1</v>
      </c>
      <c r="D194" s="216" t="str">
        <f>IF(ISERROR(D192/C192-1),"",D192/C192-1)</f>
        <v/>
      </c>
      <c r="E194" s="219" t="s">
        <v>22</v>
      </c>
      <c r="F194" s="220"/>
      <c r="G194" s="220"/>
      <c r="H194" s="220"/>
      <c r="I194" s="220"/>
      <c r="J194" s="249"/>
    </row>
    <row r="195" spans="1:10">
      <c r="A195" s="223" t="str">
        <f>Data!A44</f>
        <v xml:space="preserve">  Current Liabilities</v>
      </c>
      <c r="B195" s="713">
        <f>B171+B174+B177+B180+B183+B186+B189+B192</f>
        <v>5377.2999999999993</v>
      </c>
      <c r="C195" s="713">
        <f t="shared" ref="C195:I195" si="44">C171+C174+C177+C180+C183+C186+C189+C192</f>
        <v>3038.7000000000003</v>
      </c>
      <c r="D195" s="713">
        <f t="shared" si="44"/>
        <v>3653.5</v>
      </c>
      <c r="E195" s="713">
        <f>E171+E174+E177+E180+E183+E186+E189+E192</f>
        <v>4401.7977815835266</v>
      </c>
      <c r="F195" s="713">
        <f t="shared" si="44"/>
        <v>4357.6313825284733</v>
      </c>
      <c r="G195" s="713">
        <f t="shared" si="44"/>
        <v>5165.6097653966044</v>
      </c>
      <c r="H195" s="713">
        <f t="shared" si="44"/>
        <v>5312.6244825843878</v>
      </c>
      <c r="I195" s="713">
        <f t="shared" si="44"/>
        <v>5853.7103105965289</v>
      </c>
      <c r="J195" s="713">
        <f>J171+J174+J177+J180+J183+J186+J189+J192</f>
        <v>6029.3216199144244</v>
      </c>
    </row>
    <row r="196" spans="1:10">
      <c r="A196" s="215" t="s">
        <v>486</v>
      </c>
      <c r="B196" s="216">
        <f t="shared" ref="B196:J196" si="45">B195/B$166</f>
        <v>0.46691326508461628</v>
      </c>
      <c r="C196" s="216">
        <f t="shared" si="45"/>
        <v>0.2825935329074018</v>
      </c>
      <c r="D196" s="216">
        <f t="shared" si="45"/>
        <v>0.29354411839144096</v>
      </c>
      <c r="E196" s="216">
        <f t="shared" si="45"/>
        <v>0.34311184160128549</v>
      </c>
      <c r="F196" s="216">
        <f t="shared" si="45"/>
        <v>0.32183152398362352</v>
      </c>
      <c r="G196" s="216">
        <f t="shared" si="45"/>
        <v>0.35636018259447488</v>
      </c>
      <c r="H196" s="216">
        <f t="shared" si="45"/>
        <v>0.34060711637162383</v>
      </c>
      <c r="I196" s="216">
        <f t="shared" si="45"/>
        <v>0.33350574853373022</v>
      </c>
      <c r="J196" s="216">
        <f t="shared" si="45"/>
        <v>0.33350574853373016</v>
      </c>
    </row>
    <row r="197" spans="1:10">
      <c r="A197" s="215" t="s">
        <v>487</v>
      </c>
      <c r="B197" s="216"/>
      <c r="C197" s="216">
        <f t="shared" ref="C197:I197" si="46">IF(ISERROR(C195/B195-1),"",C195/B195-1)</f>
        <v>-0.4349022743756159</v>
      </c>
      <c r="D197" s="216">
        <f t="shared" si="46"/>
        <v>0.20232336196399769</v>
      </c>
      <c r="E197" s="216">
        <f t="shared" si="46"/>
        <v>0.20481669127782309</v>
      </c>
      <c r="F197" s="216">
        <f t="shared" si="46"/>
        <v>-1.0033718322963181E-2</v>
      </c>
      <c r="G197" s="216">
        <f t="shared" si="46"/>
        <v>0.18541687259451245</v>
      </c>
      <c r="H197" s="216">
        <f t="shared" si="46"/>
        <v>2.8460283270448805E-2</v>
      </c>
      <c r="I197" s="216">
        <f t="shared" si="46"/>
        <v>0.10184906344988343</v>
      </c>
      <c r="J197" s="216"/>
    </row>
    <row r="198" spans="1:10">
      <c r="A198" s="210" t="str">
        <f>Data!A45</f>
        <v xml:space="preserve">Long-term debt </v>
      </c>
      <c r="B198" s="710">
        <f>Data!E45</f>
        <v>1299.4000000000001</v>
      </c>
      <c r="C198" s="710">
        <f>Data!F45</f>
        <v>2048.3000000000002</v>
      </c>
      <c r="D198" s="710">
        <f>Data!G45</f>
        <v>2347.5</v>
      </c>
      <c r="E198" s="711">
        <f>D198-E180+E199</f>
        <v>2947.5</v>
      </c>
      <c r="F198" s="711">
        <f>E198+F199-F180</f>
        <v>3347.5</v>
      </c>
      <c r="G198" s="711">
        <f t="shared" ref="G198:I198" si="47">F198+G199-G180</f>
        <v>2997.5</v>
      </c>
      <c r="H198" s="711">
        <f t="shared" si="47"/>
        <v>3347.5</v>
      </c>
      <c r="I198" s="711">
        <f t="shared" si="47"/>
        <v>3347.5</v>
      </c>
      <c r="J198" s="712">
        <f>I198*$J$109</f>
        <v>3447.9250000000002</v>
      </c>
    </row>
    <row r="199" spans="1:10">
      <c r="A199" s="215" t="s">
        <v>486</v>
      </c>
      <c r="B199" s="216">
        <f>B198/B$166</f>
        <v>0.11282745925482129</v>
      </c>
      <c r="C199" s="216">
        <f>C198/C$166</f>
        <v>0.19048814738349659</v>
      </c>
      <c r="D199" s="216">
        <f>D198/D$166</f>
        <v>0.18861223974925623</v>
      </c>
      <c r="E199" s="663">
        <v>1000</v>
      </c>
      <c r="F199" s="662">
        <v>400</v>
      </c>
      <c r="G199" s="662">
        <v>0</v>
      </c>
      <c r="H199" s="662">
        <v>350</v>
      </c>
      <c r="I199" s="662">
        <v>0</v>
      </c>
      <c r="J199" s="243"/>
    </row>
    <row r="200" spans="1:10">
      <c r="A200" s="215" t="s">
        <v>487</v>
      </c>
      <c r="B200" s="216"/>
      <c r="C200" s="216">
        <f>IF(ISERROR(C198/B198-1),"",C198/B198-1)</f>
        <v>0.57634292750500227</v>
      </c>
      <c r="D200" s="216">
        <f>IF(ISERROR(D198/C198-1),"",D198/C198-1)</f>
        <v>0.14607235268271235</v>
      </c>
      <c r="E200" s="219" t="s">
        <v>832</v>
      </c>
      <c r="F200" s="220"/>
      <c r="G200" s="220"/>
      <c r="H200" s="220"/>
      <c r="I200" s="220"/>
      <c r="J200" s="244"/>
    </row>
    <row r="201" spans="1:10">
      <c r="A201" s="223" t="str">
        <f>Data!A46</f>
        <v>Long-term accrued liabilities</v>
      </c>
      <c r="B201" s="710">
        <f>Data!E46</f>
        <v>357.7</v>
      </c>
      <c r="C201" s="710">
        <f>Data!F46</f>
        <v>392.2</v>
      </c>
      <c r="D201" s="710">
        <f>Data!G46</f>
        <v>625.29999999999995</v>
      </c>
      <c r="E201" s="711">
        <f>D201*(1+E202)</f>
        <v>707.38831297498473</v>
      </c>
      <c r="F201" s="711">
        <f>E201*(1+F202)</f>
        <v>772.39473925028983</v>
      </c>
      <c r="G201" s="711">
        <f>F201*(1+G202)</f>
        <v>858.00761052573114</v>
      </c>
      <c r="H201" s="711">
        <f>G201*(1+H202)</f>
        <v>951.50206038249155</v>
      </c>
      <c r="I201" s="711">
        <f>H201*(1+I202)</f>
        <v>1053.5514159269205</v>
      </c>
      <c r="J201" s="712">
        <f>I201*$J$109</f>
        <v>1085.1579584047281</v>
      </c>
    </row>
    <row r="202" spans="1:10">
      <c r="A202" s="215" t="s">
        <v>486</v>
      </c>
      <c r="B202" s="216">
        <f>B201/B$166</f>
        <v>3.1059244401608108E-2</v>
      </c>
      <c r="C202" s="216">
        <f>C201/C$166</f>
        <v>3.6473881464535153E-2</v>
      </c>
      <c r="D202" s="216">
        <f>D201/D$166</f>
        <v>5.0240355065052145E-2</v>
      </c>
      <c r="E202" s="228">
        <f>E22</f>
        <v>0.13127828718212831</v>
      </c>
      <c r="F202" s="228">
        <f>F22</f>
        <v>9.1896381496486379E-2</v>
      </c>
      <c r="G202" s="228">
        <f>G22</f>
        <v>0.11084082649053228</v>
      </c>
      <c r="H202" s="228">
        <f>H22</f>
        <v>0.10896692373098316</v>
      </c>
      <c r="I202" s="228">
        <f>I22</f>
        <v>0.10725079828351225</v>
      </c>
      <c r="J202" s="243"/>
    </row>
    <row r="203" spans="1:10">
      <c r="A203" s="215" t="s">
        <v>487</v>
      </c>
      <c r="B203" s="216"/>
      <c r="C203" s="216">
        <f>IF(ISERROR(C201/B201-1),"",C201/B201-1)</f>
        <v>9.6449538719597383E-2</v>
      </c>
      <c r="D203" s="216">
        <f>IF(ISERROR(D201/C201-1),"",D201/C201-1)</f>
        <v>0.59433962264150941</v>
      </c>
      <c r="E203" s="219" t="s">
        <v>883</v>
      </c>
      <c r="F203" s="220"/>
      <c r="G203" s="220"/>
      <c r="H203" s="220"/>
      <c r="I203" s="220"/>
      <c r="J203" s="244"/>
    </row>
    <row r="204" spans="1:10">
      <c r="A204" s="210" t="str">
        <f>Data!A47</f>
        <v>Deferred tax liabilities- noncurrent</v>
      </c>
      <c r="B204" s="710">
        <f>Data!E47</f>
        <v>0</v>
      </c>
      <c r="C204" s="710">
        <f>Data!F47</f>
        <v>0</v>
      </c>
      <c r="D204" s="710">
        <f>Data!G47</f>
        <v>0</v>
      </c>
      <c r="E204" s="711">
        <f>D204*(1+E205)</f>
        <v>0</v>
      </c>
      <c r="F204" s="711">
        <f>E204*(1+F205)</f>
        <v>0</v>
      </c>
      <c r="G204" s="711">
        <f>F204*(1+G205)</f>
        <v>0</v>
      </c>
      <c r="H204" s="711">
        <f>G204*(1+H205)</f>
        <v>0</v>
      </c>
      <c r="I204" s="711">
        <f>H204*(1+I205)</f>
        <v>0</v>
      </c>
      <c r="J204" s="712">
        <f>I204*$J$109</f>
        <v>0</v>
      </c>
    </row>
    <row r="205" spans="1:10">
      <c r="A205" s="215" t="s">
        <v>486</v>
      </c>
      <c r="B205" s="216">
        <f>B204/B$166</f>
        <v>0</v>
      </c>
      <c r="C205" s="216">
        <f>C204/C$166</f>
        <v>0</v>
      </c>
      <c r="D205" s="216">
        <f>D204/D$166</f>
        <v>0</v>
      </c>
      <c r="E205" s="228">
        <v>0</v>
      </c>
      <c r="F205" s="228">
        <f>E205</f>
        <v>0</v>
      </c>
      <c r="G205" s="228">
        <f>F205</f>
        <v>0</v>
      </c>
      <c r="H205" s="228">
        <f>G205</f>
        <v>0</v>
      </c>
      <c r="I205" s="228">
        <f>H205</f>
        <v>0</v>
      </c>
      <c r="J205" s="243"/>
    </row>
    <row r="206" spans="1:10">
      <c r="A206" s="215" t="s">
        <v>487</v>
      </c>
      <c r="B206" s="216"/>
      <c r="C206" s="216" t="str">
        <f>IF(ISERROR(C204/B204-1),"",C204/B204-1)</f>
        <v/>
      </c>
      <c r="D206" s="216" t="str">
        <f>IF(ISERROR(D204/C204-1),"",D204/C204-1)</f>
        <v/>
      </c>
      <c r="E206" s="219" t="s">
        <v>22</v>
      </c>
      <c r="F206" s="220"/>
      <c r="G206" s="220"/>
      <c r="H206" s="220"/>
      <c r="I206" s="220"/>
      <c r="J206" s="244"/>
    </row>
    <row r="207" spans="1:10">
      <c r="A207" s="210" t="str">
        <f>Data!A48</f>
        <v>Other noncurrent liabilities (1)</v>
      </c>
      <c r="B207" s="710">
        <f>Data!E48</f>
        <v>0</v>
      </c>
      <c r="C207" s="710">
        <f>Data!F48</f>
        <v>0</v>
      </c>
      <c r="D207" s="710">
        <f>Data!G48</f>
        <v>0</v>
      </c>
      <c r="E207" s="711">
        <f>D207*(1+E208)</f>
        <v>0</v>
      </c>
      <c r="F207" s="711">
        <f>E207*(1+F208)</f>
        <v>0</v>
      </c>
      <c r="G207" s="711">
        <f>F207*(1+G208)</f>
        <v>0</v>
      </c>
      <c r="H207" s="711">
        <f>G207*(1+H208)</f>
        <v>0</v>
      </c>
      <c r="I207" s="711">
        <f>H207*(1+I208)</f>
        <v>0</v>
      </c>
      <c r="J207" s="712">
        <f>I207*$J$109</f>
        <v>0</v>
      </c>
    </row>
    <row r="208" spans="1:10">
      <c r="A208" s="215" t="s">
        <v>486</v>
      </c>
      <c r="B208" s="216">
        <f>B207/B$166</f>
        <v>0</v>
      </c>
      <c r="C208" s="216">
        <f>C207/C$166</f>
        <v>0</v>
      </c>
      <c r="D208" s="216">
        <f>D207/D$166</f>
        <v>0</v>
      </c>
      <c r="E208" s="228">
        <v>0</v>
      </c>
      <c r="F208" s="228">
        <f>E208</f>
        <v>0</v>
      </c>
      <c r="G208" s="228">
        <f>F208</f>
        <v>0</v>
      </c>
      <c r="H208" s="228">
        <f>G208</f>
        <v>0</v>
      </c>
      <c r="I208" s="228">
        <f>H208</f>
        <v>0</v>
      </c>
      <c r="J208" s="253"/>
    </row>
    <row r="209" spans="1:10">
      <c r="A209" s="215" t="s">
        <v>487</v>
      </c>
      <c r="B209" s="216"/>
      <c r="C209" s="216" t="str">
        <f>IF(ISERROR(C207/B207-1),"",C207/B207-1)</f>
        <v/>
      </c>
      <c r="D209" s="216" t="str">
        <f>IF(ISERROR(D207/C207-1),"",D207/C207-1)</f>
        <v/>
      </c>
      <c r="E209" s="219" t="s">
        <v>22</v>
      </c>
      <c r="F209" s="220"/>
      <c r="G209" s="220"/>
      <c r="H209" s="220"/>
      <c r="I209" s="220"/>
      <c r="J209" s="229"/>
    </row>
    <row r="210" spans="1:10">
      <c r="A210" s="210" t="str">
        <f>Data!A49</f>
        <v>Other noncurrent liabilities (2)</v>
      </c>
      <c r="B210" s="710">
        <f>Data!E49</f>
        <v>0</v>
      </c>
      <c r="C210" s="710">
        <f>Data!F49</f>
        <v>0</v>
      </c>
      <c r="D210" s="710">
        <f>Data!G49</f>
        <v>0</v>
      </c>
      <c r="E210" s="711">
        <f>D210*(1+E211)</f>
        <v>0</v>
      </c>
      <c r="F210" s="711">
        <f>E210*(1+F211)</f>
        <v>0</v>
      </c>
      <c r="G210" s="711">
        <f>F210*(1+G211)</f>
        <v>0</v>
      </c>
      <c r="H210" s="711">
        <f>G210*(1+H211)</f>
        <v>0</v>
      </c>
      <c r="I210" s="711">
        <f>H210*(1+I211)</f>
        <v>0</v>
      </c>
      <c r="J210" s="712">
        <f>I210*$J$109</f>
        <v>0</v>
      </c>
    </row>
    <row r="211" spans="1:10">
      <c r="A211" s="215" t="s">
        <v>486</v>
      </c>
      <c r="B211" s="216">
        <f>B210/B$166</f>
        <v>0</v>
      </c>
      <c r="C211" s="216">
        <f>C210/C$166</f>
        <v>0</v>
      </c>
      <c r="D211" s="216">
        <f>D210/D$166</f>
        <v>0</v>
      </c>
      <c r="E211" s="228">
        <v>0</v>
      </c>
      <c r="F211" s="228">
        <f>E211</f>
        <v>0</v>
      </c>
      <c r="G211" s="228">
        <f>F211</f>
        <v>0</v>
      </c>
      <c r="H211" s="228">
        <f>G211</f>
        <v>0</v>
      </c>
      <c r="I211" s="228">
        <f>H211</f>
        <v>0</v>
      </c>
      <c r="J211" s="254"/>
    </row>
    <row r="212" spans="1:10">
      <c r="A212" s="215" t="s">
        <v>487</v>
      </c>
      <c r="B212" s="216"/>
      <c r="C212" s="216" t="str">
        <f>IF(ISERROR(C210/B210-1),"",C210/B210-1)</f>
        <v/>
      </c>
      <c r="D212" s="216" t="str">
        <f>IF(ISERROR(D210/C210-1),"",D210/C210-1)</f>
        <v/>
      </c>
      <c r="E212" s="219" t="s">
        <v>22</v>
      </c>
      <c r="F212" s="220"/>
      <c r="G212" s="220"/>
      <c r="H212" s="220"/>
      <c r="I212" s="220"/>
      <c r="J212" s="249"/>
    </row>
    <row r="213" spans="1:10">
      <c r="A213" s="223" t="str">
        <f>Data!A50</f>
        <v xml:space="preserve">  Total Liabilities</v>
      </c>
      <c r="B213" s="713">
        <f>B195+B198+B201+B204+B207+B210</f>
        <v>7034.3999999999987</v>
      </c>
      <c r="C213" s="713">
        <f t="shared" ref="C213:I213" si="48">C195+C198+C201+C204+C207+C210</f>
        <v>5479.2</v>
      </c>
      <c r="D213" s="713">
        <f t="shared" si="48"/>
        <v>6626.3</v>
      </c>
      <c r="E213" s="713">
        <f>E195+E198+E201+E204+E207+E210</f>
        <v>8056.6860945585113</v>
      </c>
      <c r="F213" s="713">
        <f t="shared" si="48"/>
        <v>8477.5261217787629</v>
      </c>
      <c r="G213" s="713">
        <f t="shared" si="48"/>
        <v>9021.1173759223348</v>
      </c>
      <c r="H213" s="713">
        <f t="shared" si="48"/>
        <v>9611.6265429668802</v>
      </c>
      <c r="I213" s="713">
        <f t="shared" si="48"/>
        <v>10254.761726523449</v>
      </c>
      <c r="J213" s="713">
        <f>J195+J198+J201+J204+J207+J210</f>
        <v>10562.404578319154</v>
      </c>
    </row>
    <row r="214" spans="1:10">
      <c r="A214" s="215" t="s">
        <v>486</v>
      </c>
      <c r="B214" s="216">
        <f t="shared" ref="B214:J214" si="49">B213/B$166</f>
        <v>0.6107999687410457</v>
      </c>
      <c r="C214" s="216">
        <f t="shared" si="49"/>
        <v>0.50955556175543348</v>
      </c>
      <c r="D214" s="216">
        <f t="shared" si="49"/>
        <v>0.53239671320574933</v>
      </c>
      <c r="E214" s="216">
        <f t="shared" si="49"/>
        <v>0.62800349772382758</v>
      </c>
      <c r="F214" s="216">
        <f t="shared" si="49"/>
        <v>0.62610508138023069</v>
      </c>
      <c r="G214" s="216">
        <f t="shared" si="49"/>
        <v>0.62234028145621068</v>
      </c>
      <c r="H214" s="216">
        <f t="shared" si="49"/>
        <v>0.61622808296970699</v>
      </c>
      <c r="I214" s="216">
        <f t="shared" si="49"/>
        <v>0.58424858836082882</v>
      </c>
      <c r="J214" s="216">
        <f t="shared" si="49"/>
        <v>0.58424858836082871</v>
      </c>
    </row>
    <row r="215" spans="1:10">
      <c r="A215" s="215" t="s">
        <v>487</v>
      </c>
      <c r="B215" s="216"/>
      <c r="C215" s="216">
        <f t="shared" ref="C215:I215" si="50">IF(ISERROR(C213/B213-1),"",C213/B213-1)</f>
        <v>-0.22108495394063443</v>
      </c>
      <c r="D215" s="216">
        <f t="shared" si="50"/>
        <v>0.20935538034749612</v>
      </c>
      <c r="E215" s="216">
        <f t="shared" si="50"/>
        <v>0.21586497661719384</v>
      </c>
      <c r="F215" s="216">
        <f t="shared" si="50"/>
        <v>5.2234879487794261E-2</v>
      </c>
      <c r="G215" s="216">
        <f t="shared" si="50"/>
        <v>6.4121448443206441E-2</v>
      </c>
      <c r="H215" s="216">
        <f t="shared" si="50"/>
        <v>6.5458539384559478E-2</v>
      </c>
      <c r="I215" s="216">
        <f t="shared" si="50"/>
        <v>6.6912211027088997E-2</v>
      </c>
      <c r="J215" s="216"/>
    </row>
    <row r="216" spans="1:10">
      <c r="A216" s="215"/>
      <c r="B216" s="216"/>
      <c r="C216" s="216"/>
      <c r="D216" s="216"/>
      <c r="E216" s="221"/>
      <c r="F216" s="221"/>
      <c r="G216" s="221"/>
      <c r="H216" s="221"/>
      <c r="I216" s="221"/>
      <c r="J216" s="221"/>
    </row>
    <row r="217" spans="1:10">
      <c r="A217" s="210" t="s">
        <v>263</v>
      </c>
      <c r="B217" s="715"/>
      <c r="C217" s="715"/>
      <c r="D217" s="715"/>
      <c r="E217" s="716"/>
      <c r="F217" s="716"/>
      <c r="G217" s="716"/>
      <c r="H217" s="716"/>
      <c r="I217" s="716"/>
      <c r="J217" s="717"/>
    </row>
    <row r="218" spans="1:10">
      <c r="A218" s="210" t="str">
        <f>Data!A52</f>
        <v>Preferred stock</v>
      </c>
      <c r="B218" s="710">
        <f>Data!E52</f>
        <v>0</v>
      </c>
      <c r="C218" s="710">
        <f>Data!F52</f>
        <v>0</v>
      </c>
      <c r="D218" s="710">
        <f>Data!G52</f>
        <v>0</v>
      </c>
      <c r="E218" s="711">
        <f>E219</f>
        <v>0</v>
      </c>
      <c r="F218" s="711">
        <f>F219</f>
        <v>0</v>
      </c>
      <c r="G218" s="711">
        <f>G219</f>
        <v>0</v>
      </c>
      <c r="H218" s="711">
        <f>H219</f>
        <v>0</v>
      </c>
      <c r="I218" s="711">
        <f>I219</f>
        <v>0</v>
      </c>
      <c r="J218" s="712">
        <f>I218*$J$109</f>
        <v>0</v>
      </c>
    </row>
    <row r="219" spans="1:10">
      <c r="A219" s="215" t="s">
        <v>486</v>
      </c>
      <c r="B219" s="216">
        <f>B218/B$166</f>
        <v>0</v>
      </c>
      <c r="C219" s="216">
        <f>C218/C$166</f>
        <v>0</v>
      </c>
      <c r="D219" s="216">
        <f>D218/D$166</f>
        <v>0</v>
      </c>
      <c r="E219" s="228">
        <v>0</v>
      </c>
      <c r="F219" s="228">
        <f>E219</f>
        <v>0</v>
      </c>
      <c r="G219" s="228">
        <f>F219</f>
        <v>0</v>
      </c>
      <c r="H219" s="228">
        <f>G219</f>
        <v>0</v>
      </c>
      <c r="I219" s="228">
        <f>H219</f>
        <v>0</v>
      </c>
      <c r="J219" s="253"/>
    </row>
    <row r="220" spans="1:10">
      <c r="A220" s="215" t="s">
        <v>487</v>
      </c>
      <c r="B220" s="216"/>
      <c r="C220" s="216" t="str">
        <f>IF(ISERROR(C218/B218-1),"",C218/B218-1)</f>
        <v/>
      </c>
      <c r="D220" s="216" t="str">
        <f>IF(ISERROR(D218/C218-1),"",D218/C218-1)</f>
        <v/>
      </c>
      <c r="E220" s="219" t="s">
        <v>22</v>
      </c>
      <c r="F220" s="220"/>
      <c r="G220" s="220"/>
      <c r="H220" s="220"/>
      <c r="I220" s="220"/>
      <c r="J220" s="244"/>
    </row>
    <row r="221" spans="1:10">
      <c r="A221" s="215"/>
      <c r="B221" s="216"/>
      <c r="C221" s="216"/>
      <c r="D221" s="216"/>
      <c r="E221" s="219"/>
      <c r="F221" s="220"/>
      <c r="G221" s="220"/>
      <c r="H221" s="220"/>
      <c r="I221" s="220"/>
      <c r="J221" s="244"/>
    </row>
    <row r="222" spans="1:10">
      <c r="A222" s="210" t="str">
        <f>Data!A53</f>
        <v>Common stock + Additional paid in capital</v>
      </c>
      <c r="B222" s="710">
        <f>Data!E53</f>
        <v>282.89999999999998</v>
      </c>
      <c r="C222" s="710">
        <f>Data!F53</f>
        <v>40.1</v>
      </c>
      <c r="D222" s="710">
        <f>Data!G53</f>
        <v>42.6</v>
      </c>
      <c r="E222" s="711">
        <f>E223*E166</f>
        <v>43.910486700989331</v>
      </c>
      <c r="F222" s="711">
        <f>F223*F166</f>
        <v>46.344241502900644</v>
      </c>
      <c r="G222" s="711">
        <f>G223*G166</f>
        <v>49.61423416792168</v>
      </c>
      <c r="H222" s="711">
        <f>H223*H166</f>
        <v>53.38623234899719</v>
      </c>
      <c r="I222" s="711">
        <f>I223*I166</f>
        <v>60.076105673123827</v>
      </c>
      <c r="J222" s="712">
        <f>I222*$J$109</f>
        <v>61.878388843317545</v>
      </c>
    </row>
    <row r="223" spans="1:10">
      <c r="A223" s="215" t="s">
        <v>486</v>
      </c>
      <c r="B223" s="216">
        <f>B222/B$166</f>
        <v>2.4564328323217591E-2</v>
      </c>
      <c r="C223" s="216">
        <f>C222/C$166</f>
        <v>3.7292265342372764E-3</v>
      </c>
      <c r="D223" s="737">
        <f>D222/D$166</f>
        <v>3.4227396861845859E-3</v>
      </c>
      <c r="E223" s="738">
        <f>D223</f>
        <v>3.4227396861845859E-3</v>
      </c>
      <c r="F223" s="738">
        <f>E223</f>
        <v>3.4227396861845859E-3</v>
      </c>
      <c r="G223" s="738">
        <f>F223</f>
        <v>3.4227396861845859E-3</v>
      </c>
      <c r="H223" s="738">
        <f>G223</f>
        <v>3.4227396861845859E-3</v>
      </c>
      <c r="I223" s="738">
        <f>H223</f>
        <v>3.4227396861845859E-3</v>
      </c>
      <c r="J223" s="253"/>
    </row>
    <row r="224" spans="1:10">
      <c r="A224" s="215" t="s">
        <v>487</v>
      </c>
      <c r="B224" s="216"/>
      <c r="C224" s="216">
        <f>IF(ISERROR(C222/B222-1),"",C222/B222-1)</f>
        <v>-0.85825379992930362</v>
      </c>
      <c r="D224" s="216">
        <f>IF(ISERROR(D222/C222-1),"",D222/C222-1)</f>
        <v>6.2344139650872821E-2</v>
      </c>
      <c r="E224" s="219" t="s">
        <v>173</v>
      </c>
      <c r="F224" s="220"/>
      <c r="G224" s="220"/>
      <c r="H224" s="220"/>
      <c r="I224" s="220"/>
      <c r="J224" s="244"/>
    </row>
    <row r="225" spans="1:14">
      <c r="A225" s="210" t="str">
        <f>Data!A54</f>
        <v>Retained earnings &lt;deficit&gt;</v>
      </c>
      <c r="B225" s="710">
        <f>Data!E54</f>
        <v>4130.3</v>
      </c>
      <c r="C225" s="710">
        <f>Data!F54</f>
        <v>5206.6000000000004</v>
      </c>
      <c r="D225" s="710">
        <f>Data!G54</f>
        <v>5974.8</v>
      </c>
      <c r="E225" s="711">
        <f t="shared" ref="E225:J225" si="51">D225+E90+E258+E268</f>
        <v>4927.8499507417255</v>
      </c>
      <c r="F225" s="711">
        <f t="shared" si="51"/>
        <v>5215.6307697267148</v>
      </c>
      <c r="G225" s="711">
        <f t="shared" si="51"/>
        <v>5624.1424010309092</v>
      </c>
      <c r="H225" s="711">
        <f t="shared" si="51"/>
        <v>6131.9018602502802</v>
      </c>
      <c r="I225" s="711">
        <f>H225+I90+I258+I268</f>
        <v>7436.6143777955258</v>
      </c>
      <c r="J225" s="416">
        <f t="shared" si="51"/>
        <v>7653.7308091293999</v>
      </c>
    </row>
    <row r="226" spans="1:14">
      <c r="A226" s="215" t="s">
        <v>486</v>
      </c>
      <c r="B226" s="216">
        <f>B225/B$166</f>
        <v>0.35863572030182267</v>
      </c>
      <c r="C226" s="216">
        <f>C225/C$166</f>
        <v>0.48420426117605497</v>
      </c>
      <c r="D226" s="216">
        <f>D225/D$166</f>
        <v>0.48005129288769166</v>
      </c>
      <c r="E226" s="228"/>
      <c r="F226" s="228"/>
      <c r="G226" s="228"/>
      <c r="H226" s="228"/>
      <c r="I226" s="228"/>
      <c r="J226" s="255"/>
    </row>
    <row r="227" spans="1:14">
      <c r="A227" s="215" t="s">
        <v>487</v>
      </c>
      <c r="B227" s="216"/>
      <c r="C227" s="216">
        <f>IF(ISERROR(C225/B225-1),"",C225/B225-1)</f>
        <v>0.26058639808246387</v>
      </c>
      <c r="D227" s="216">
        <f>IF(ISERROR(D225/C225-1),"",D225/C225-1)</f>
        <v>0.1475435024776246</v>
      </c>
      <c r="E227" s="219" t="s">
        <v>778</v>
      </c>
      <c r="F227" s="220"/>
      <c r="G227" s="220"/>
      <c r="H227" s="220"/>
      <c r="I227" s="220"/>
      <c r="J227" s="256"/>
      <c r="N227" s="760"/>
    </row>
    <row r="228" spans="1:14">
      <c r="A228" s="210" t="str">
        <f>Data!A55</f>
        <v>Accum. other comprehensive income &lt;loss&gt;</v>
      </c>
      <c r="B228" s="710">
        <f>Data!E55</f>
        <v>67</v>
      </c>
      <c r="C228" s="710">
        <f>Data!F55</f>
        <v>25.3</v>
      </c>
      <c r="D228" s="710">
        <f>Data!G55</f>
        <v>-199.4</v>
      </c>
      <c r="E228" s="711">
        <f>D228</f>
        <v>-199.4</v>
      </c>
      <c r="F228" s="711">
        <f>E228</f>
        <v>-199.4</v>
      </c>
      <c r="G228" s="711">
        <f>F228</f>
        <v>-199.4</v>
      </c>
      <c r="H228" s="711">
        <f>G228</f>
        <v>-199.4</v>
      </c>
      <c r="I228" s="711">
        <f>H228</f>
        <v>-199.4</v>
      </c>
      <c r="J228" s="712">
        <f>I228+J94</f>
        <v>-199.4</v>
      </c>
    </row>
    <row r="229" spans="1:14">
      <c r="A229" s="215" t="s">
        <v>486</v>
      </c>
      <c r="B229" s="216">
        <f>B228/B$166</f>
        <v>5.8176387333177051E-3</v>
      </c>
      <c r="C229" s="216">
        <f>C228/C$166</f>
        <v>2.3528536487831195E-3</v>
      </c>
      <c r="D229" s="216">
        <f>D228/D$166</f>
        <v>-1.6020992803408601E-2</v>
      </c>
      <c r="E229" s="225">
        <v>0</v>
      </c>
      <c r="F229" s="225">
        <f>E229</f>
        <v>0</v>
      </c>
      <c r="G229" s="225">
        <f>F229</f>
        <v>0</v>
      </c>
      <c r="H229" s="225">
        <f>G229</f>
        <v>0</v>
      </c>
      <c r="I229" s="225">
        <f>H229</f>
        <v>0</v>
      </c>
      <c r="J229" s="243"/>
    </row>
    <row r="230" spans="1:14">
      <c r="A230" s="215" t="s">
        <v>487</v>
      </c>
      <c r="B230" s="216"/>
      <c r="C230" s="216">
        <f>IF(ISERROR(C228/B228-1),"",C228/B228-1)</f>
        <v>-0.62238805970149258</v>
      </c>
      <c r="D230" s="216">
        <f>IF(ISERROR(D228/C228-1),"",D228/C228-1)</f>
        <v>-8.8814229249011856</v>
      </c>
      <c r="E230" s="219" t="s">
        <v>174</v>
      </c>
      <c r="F230" s="220"/>
      <c r="G230" s="220"/>
      <c r="H230" s="220"/>
      <c r="I230" s="220"/>
      <c r="J230" s="229"/>
    </row>
    <row r="231" spans="1:14">
      <c r="A231" s="210" t="str">
        <f>Data!A56</f>
        <v>&lt;Treasury stock&gt; and other equity adjustments</v>
      </c>
      <c r="B231" s="710">
        <f>Data!E56</f>
        <v>0</v>
      </c>
      <c r="C231" s="710">
        <f>Data!F56</f>
        <v>0</v>
      </c>
      <c r="D231" s="710">
        <f>Data!G56</f>
        <v>0</v>
      </c>
      <c r="E231" s="718">
        <f>D231+E232</f>
        <v>0</v>
      </c>
      <c r="F231" s="718">
        <f>E231+F232</f>
        <v>0</v>
      </c>
      <c r="G231" s="718">
        <f>F231+G232</f>
        <v>0</v>
      </c>
      <c r="H231" s="718">
        <f>G231+H232</f>
        <v>0</v>
      </c>
      <c r="I231" s="718">
        <f>H231+I232</f>
        <v>0</v>
      </c>
      <c r="J231" s="712">
        <f>I231*$J$109</f>
        <v>0</v>
      </c>
    </row>
    <row r="232" spans="1:14">
      <c r="A232" s="215" t="s">
        <v>486</v>
      </c>
      <c r="B232" s="216">
        <f>B231/B$166</f>
        <v>0</v>
      </c>
      <c r="C232" s="216">
        <f>C231/C$166</f>
        <v>0</v>
      </c>
      <c r="D232" s="216">
        <f>D231/D$166</f>
        <v>0</v>
      </c>
      <c r="E232" s="550">
        <v>0</v>
      </c>
      <c r="F232" s="550">
        <v>0</v>
      </c>
      <c r="G232" s="550">
        <v>0</v>
      </c>
      <c r="H232" s="550">
        <v>0</v>
      </c>
      <c r="I232" s="550">
        <v>0</v>
      </c>
      <c r="J232" s="248"/>
    </row>
    <row r="233" spans="1:14">
      <c r="A233" s="215" t="s">
        <v>487</v>
      </c>
      <c r="B233" s="216"/>
      <c r="C233" s="216" t="str">
        <f>IF(ISERROR(C231/B231-1),"",C231/B231-1)</f>
        <v/>
      </c>
      <c r="D233" s="216" t="str">
        <f>IF(ISERROR(D231/C231-1),"",D231/C231-1)</f>
        <v/>
      </c>
      <c r="E233" s="219" t="s">
        <v>777</v>
      </c>
      <c r="F233" s="220"/>
      <c r="G233" s="220"/>
      <c r="H233" s="220"/>
      <c r="I233" s="220"/>
      <c r="J233" s="249"/>
    </row>
    <row r="234" spans="1:14">
      <c r="A234" s="223" t="str">
        <f>Data!A57</f>
        <v xml:space="preserve"> Total Common Shareholders' Equity</v>
      </c>
      <c r="B234" s="713">
        <f>B222+B225+B228+B231</f>
        <v>4480.2</v>
      </c>
      <c r="C234" s="713">
        <f t="shared" ref="C234:J234" si="52">C222+C225+C228+C231</f>
        <v>5272.0000000000009</v>
      </c>
      <c r="D234" s="713">
        <f t="shared" si="52"/>
        <v>5818.0000000000009</v>
      </c>
      <c r="E234" s="713">
        <f t="shared" si="52"/>
        <v>4772.360437442715</v>
      </c>
      <c r="F234" s="713">
        <f t="shared" si="52"/>
        <v>5062.5750112296155</v>
      </c>
      <c r="G234" s="713">
        <f t="shared" si="52"/>
        <v>5474.3566351988311</v>
      </c>
      <c r="H234" s="713">
        <f t="shared" si="52"/>
        <v>5985.888092599278</v>
      </c>
      <c r="I234" s="713">
        <f t="shared" si="52"/>
        <v>7297.2904834686497</v>
      </c>
      <c r="J234" s="713">
        <f t="shared" si="52"/>
        <v>7516.2091979727174</v>
      </c>
    </row>
    <row r="235" spans="1:14" s="544" customFormat="1" ht="11.25">
      <c r="A235" s="215" t="s">
        <v>486</v>
      </c>
      <c r="B235" s="542">
        <f>B234/B$166</f>
        <v>0.38901768735835796</v>
      </c>
      <c r="C235" s="542">
        <f t="shared" ref="C235:I235" si="53">C234/C$166</f>
        <v>0.49028634135907539</v>
      </c>
      <c r="D235" s="542">
        <f t="shared" si="53"/>
        <v>0.4674530397704677</v>
      </c>
      <c r="E235" s="542">
        <f t="shared" si="53"/>
        <v>0.37199650227617226</v>
      </c>
      <c r="F235" s="542">
        <f t="shared" si="53"/>
        <v>0.37389491861976948</v>
      </c>
      <c r="G235" s="542">
        <f t="shared" si="53"/>
        <v>0.37765971854378921</v>
      </c>
      <c r="H235" s="542">
        <f t="shared" si="53"/>
        <v>0.38377191703029317</v>
      </c>
      <c r="I235" s="542">
        <f t="shared" si="53"/>
        <v>0.41575141163917118</v>
      </c>
      <c r="J235" s="542"/>
    </row>
    <row r="236" spans="1:14" s="544" customFormat="1" ht="11.25">
      <c r="A236" s="215" t="s">
        <v>487</v>
      </c>
      <c r="B236" s="542"/>
      <c r="C236" s="542">
        <f t="shared" ref="C236:J236" si="54">IF(ISERROR(C234/B234-1),"",C234/B234-1)</f>
        <v>0.1767331815543951</v>
      </c>
      <c r="D236" s="542">
        <f t="shared" si="54"/>
        <v>0.10356600910470415</v>
      </c>
      <c r="E236" s="542">
        <f t="shared" si="54"/>
        <v>-0.17972491621816533</v>
      </c>
      <c r="F236" s="542">
        <f t="shared" si="54"/>
        <v>6.0811537098068191E-2</v>
      </c>
      <c r="G236" s="542">
        <f t="shared" si="54"/>
        <v>8.1338374849916573E-2</v>
      </c>
      <c r="H236" s="542">
        <f t="shared" si="54"/>
        <v>9.3441383433336966E-2</v>
      </c>
      <c r="I236" s="542">
        <f t="shared" si="54"/>
        <v>0.21908234343551114</v>
      </c>
      <c r="J236" s="542">
        <f t="shared" si="54"/>
        <v>3.0000000000001137E-2</v>
      </c>
    </row>
    <row r="237" spans="1:14">
      <c r="A237" s="223" t="str">
        <f>Data!A58</f>
        <v>Noncontrolling interests</v>
      </c>
      <c r="B237" s="409">
        <f>Data!E58</f>
        <v>2.1</v>
      </c>
      <c r="C237" s="409">
        <f>Data!F58</f>
        <v>1.7</v>
      </c>
      <c r="D237" s="409">
        <f>Data!G58</f>
        <v>1.8</v>
      </c>
      <c r="E237" s="718">
        <v>0</v>
      </c>
      <c r="F237" s="718">
        <f>E237-F87</f>
        <v>0</v>
      </c>
      <c r="G237" s="718">
        <f>F237-G87</f>
        <v>0</v>
      </c>
      <c r="H237" s="718">
        <f>G237-H87</f>
        <v>0</v>
      </c>
      <c r="I237" s="718">
        <f>H237-I87</f>
        <v>0</v>
      </c>
      <c r="J237" s="418">
        <f>I237-J87</f>
        <v>0</v>
      </c>
    </row>
    <row r="238" spans="1:14">
      <c r="A238" s="215" t="s">
        <v>486</v>
      </c>
      <c r="B238" s="542">
        <f>B237/B$166</f>
        <v>1.823439005965251E-4</v>
      </c>
      <c r="C238" s="542">
        <f>C237/C$166</f>
        <v>1.5809688549135584E-4</v>
      </c>
      <c r="D238" s="542">
        <f>D237/D$166</f>
        <v>1.4462280364160222E-4</v>
      </c>
      <c r="E238" s="541">
        <v>0</v>
      </c>
      <c r="F238" s="541">
        <v>0</v>
      </c>
      <c r="G238" s="541">
        <v>0</v>
      </c>
      <c r="H238" s="541">
        <v>0</v>
      </c>
      <c r="I238" s="541">
        <v>0</v>
      </c>
      <c r="J238" s="248"/>
    </row>
    <row r="239" spans="1:14">
      <c r="A239" s="215" t="s">
        <v>487</v>
      </c>
      <c r="B239" s="542"/>
      <c r="C239" s="216">
        <f>IF(ISERROR(C237/B237-1),"",C237/B237-1)</f>
        <v>-0.19047619047619058</v>
      </c>
      <c r="D239" s="216">
        <f>IF(ISERROR(D237/C237-1),"",D237/C237-1)</f>
        <v>5.8823529411764719E-2</v>
      </c>
      <c r="E239" s="219" t="s">
        <v>726</v>
      </c>
      <c r="F239" s="220"/>
      <c r="G239" s="220"/>
      <c r="H239" s="220"/>
      <c r="I239" s="220"/>
      <c r="J239" s="249"/>
    </row>
    <row r="240" spans="1:14">
      <c r="A240" s="223" t="str">
        <f>Data!A59</f>
        <v xml:space="preserve">  Total Equity</v>
      </c>
      <c r="B240" s="719">
        <f>B234+B237</f>
        <v>4482.3</v>
      </c>
      <c r="C240" s="719">
        <f t="shared" ref="C240:J240" si="55">C234+C237</f>
        <v>5273.7000000000007</v>
      </c>
      <c r="D240" s="719">
        <f t="shared" si="55"/>
        <v>5819.8000000000011</v>
      </c>
      <c r="E240" s="719">
        <f t="shared" si="55"/>
        <v>4772.360437442715</v>
      </c>
      <c r="F240" s="719">
        <f t="shared" si="55"/>
        <v>5062.5750112296155</v>
      </c>
      <c r="G240" s="719">
        <f t="shared" si="55"/>
        <v>5474.3566351988311</v>
      </c>
      <c r="H240" s="719">
        <f t="shared" si="55"/>
        <v>5985.888092599278</v>
      </c>
      <c r="I240" s="719">
        <f t="shared" si="55"/>
        <v>7297.2904834686497</v>
      </c>
      <c r="J240" s="719">
        <f t="shared" si="55"/>
        <v>7516.2091979727174</v>
      </c>
      <c r="K240" s="609"/>
    </row>
    <row r="241" spans="1:16" s="544" customFormat="1" ht="11.25">
      <c r="A241" s="215" t="s">
        <v>486</v>
      </c>
      <c r="B241" s="542">
        <f t="shared" ref="B241:I241" si="56">B240/B$166</f>
        <v>0.38920003125895453</v>
      </c>
      <c r="C241" s="542">
        <f t="shared" si="56"/>
        <v>0.49044443824456674</v>
      </c>
      <c r="D241" s="542">
        <f t="shared" si="56"/>
        <v>0.46759766257410929</v>
      </c>
      <c r="E241" s="542">
        <f t="shared" si="56"/>
        <v>0.37199650227617226</v>
      </c>
      <c r="F241" s="542">
        <f t="shared" si="56"/>
        <v>0.37389491861976948</v>
      </c>
      <c r="G241" s="542">
        <f t="shared" si="56"/>
        <v>0.37765971854378921</v>
      </c>
      <c r="H241" s="542">
        <f t="shared" si="56"/>
        <v>0.38377191703029317</v>
      </c>
      <c r="I241" s="542">
        <f t="shared" si="56"/>
        <v>0.41575141163917118</v>
      </c>
      <c r="J241" s="542"/>
    </row>
    <row r="242" spans="1:16" s="544" customFormat="1" ht="11.25">
      <c r="A242" s="215" t="s">
        <v>487</v>
      </c>
      <c r="B242" s="542"/>
      <c r="C242" s="542">
        <f t="shared" ref="C242:I242" si="57">IF(ISERROR(C240/B240-1),"",C240/B240-1)</f>
        <v>0.17656114048591132</v>
      </c>
      <c r="D242" s="542">
        <f t="shared" si="57"/>
        <v>0.10355158617289573</v>
      </c>
      <c r="E242" s="542">
        <f t="shared" si="57"/>
        <v>-0.17997861826132955</v>
      </c>
      <c r="F242" s="542">
        <f t="shared" si="57"/>
        <v>6.0811537098068191E-2</v>
      </c>
      <c r="G242" s="542">
        <f t="shared" si="57"/>
        <v>8.1338374849916573E-2</v>
      </c>
      <c r="H242" s="542">
        <f t="shared" si="57"/>
        <v>9.3441383433336966E-2</v>
      </c>
      <c r="I242" s="542">
        <f t="shared" si="57"/>
        <v>0.21908234343551114</v>
      </c>
      <c r="J242" s="542"/>
    </row>
    <row r="243" spans="1:16" ht="13.5" thickBot="1">
      <c r="A243" s="223" t="str">
        <f>Data!A60</f>
        <v xml:space="preserve">  Total Liabilities and Equities</v>
      </c>
      <c r="B243" s="720">
        <f>B213+B218+B240</f>
        <v>11516.699999999999</v>
      </c>
      <c r="C243" s="720">
        <f t="shared" ref="C243:J243" si="58">C213+C218+C240</f>
        <v>10752.900000000001</v>
      </c>
      <c r="D243" s="720">
        <f t="shared" si="58"/>
        <v>12446.100000000002</v>
      </c>
      <c r="E243" s="720">
        <f>E213+E218+E240</f>
        <v>12829.046532001226</v>
      </c>
      <c r="F243" s="720">
        <f t="shared" si="58"/>
        <v>13540.101133008378</v>
      </c>
      <c r="G243" s="720">
        <f t="shared" si="58"/>
        <v>14495.474011121165</v>
      </c>
      <c r="H243" s="720">
        <f t="shared" si="58"/>
        <v>15597.514635566158</v>
      </c>
      <c r="I243" s="720">
        <f t="shared" si="58"/>
        <v>17552.0522099921</v>
      </c>
      <c r="J243" s="720">
        <f t="shared" si="58"/>
        <v>18078.613776291873</v>
      </c>
    </row>
    <row r="244" spans="1:16" s="544" customFormat="1" ht="12" thickTop="1">
      <c r="A244" s="215" t="s">
        <v>486</v>
      </c>
      <c r="B244" s="542">
        <f>B243/B$166</f>
        <v>1.0000000000000002</v>
      </c>
      <c r="C244" s="542">
        <f>C243/C$166</f>
        <v>1.0000000000000004</v>
      </c>
      <c r="D244" s="542">
        <f>D243/D$166</f>
        <v>0.99999437577985872</v>
      </c>
      <c r="E244" s="543">
        <f t="shared" ref="E244:J244" si="59">E243/E243</f>
        <v>1</v>
      </c>
      <c r="F244" s="543">
        <f t="shared" si="59"/>
        <v>1</v>
      </c>
      <c r="G244" s="543">
        <f t="shared" si="59"/>
        <v>1</v>
      </c>
      <c r="H244" s="543">
        <f t="shared" si="59"/>
        <v>1</v>
      </c>
      <c r="I244" s="543">
        <f t="shared" si="59"/>
        <v>1</v>
      </c>
      <c r="J244" s="543">
        <f t="shared" si="59"/>
        <v>1</v>
      </c>
    </row>
    <row r="245" spans="1:16" s="544" customFormat="1" ht="11.25">
      <c r="A245" s="215" t="s">
        <v>487</v>
      </c>
      <c r="B245" s="542"/>
      <c r="C245" s="542">
        <f>IF(ISERROR(C243/B243-1),"",C243/B243-1)</f>
        <v>-6.6321081559821637E-2</v>
      </c>
      <c r="D245" s="542">
        <f>IF(ISERROR(D243/C243-1),"",D243/C243-1)</f>
        <v>0.15746449794939044</v>
      </c>
      <c r="E245" s="542">
        <f t="shared" ref="E245:J245" si="60">IF(ISERROR(E243/D243-1),"",E243/D243-1)</f>
        <v>3.0768395883145949E-2</v>
      </c>
      <c r="F245" s="542">
        <f t="shared" si="60"/>
        <v>5.5425366120036568E-2</v>
      </c>
      <c r="G245" s="542">
        <f t="shared" si="60"/>
        <v>7.0558769740925786E-2</v>
      </c>
      <c r="H245" s="542">
        <f t="shared" si="60"/>
        <v>7.6026532392075685E-2</v>
      </c>
      <c r="I245" s="542">
        <f t="shared" si="60"/>
        <v>0.12531083445622282</v>
      </c>
      <c r="J245" s="542">
        <f t="shared" si="60"/>
        <v>3.0000000000000693E-2</v>
      </c>
    </row>
    <row r="246" spans="1:16" s="544" customFormat="1" ht="11.25">
      <c r="A246" s="545" t="s">
        <v>489</v>
      </c>
      <c r="B246" s="546">
        <f t="shared" ref="B246:J246" si="61">B166-B243</f>
        <v>0</v>
      </c>
      <c r="C246" s="546">
        <f t="shared" si="61"/>
        <v>0</v>
      </c>
      <c r="D246" s="614">
        <f t="shared" si="61"/>
        <v>6.9999999996070983E-2</v>
      </c>
      <c r="E246" s="547">
        <f t="shared" si="61"/>
        <v>0</v>
      </c>
      <c r="F246" s="547">
        <f t="shared" si="61"/>
        <v>0</v>
      </c>
      <c r="G246" s="547">
        <f t="shared" si="61"/>
        <v>0</v>
      </c>
      <c r="H246" s="547">
        <f t="shared" si="61"/>
        <v>0</v>
      </c>
      <c r="I246" s="547">
        <f t="shared" si="61"/>
        <v>0</v>
      </c>
      <c r="J246" s="547">
        <f t="shared" si="61"/>
        <v>0</v>
      </c>
      <c r="L246" s="548" t="s">
        <v>180</v>
      </c>
    </row>
    <row r="247" spans="1:16">
      <c r="A247" s="213"/>
      <c r="B247" s="216"/>
      <c r="C247" s="216"/>
      <c r="D247" s="259"/>
      <c r="E247" s="99" t="s">
        <v>40</v>
      </c>
      <c r="F247" s="50"/>
      <c r="G247" s="50"/>
      <c r="H247" s="50"/>
      <c r="I247" s="50"/>
      <c r="J247" s="251"/>
    </row>
    <row r="248" spans="1:16">
      <c r="A248" s="202"/>
      <c r="B248" s="241"/>
      <c r="C248" s="241"/>
      <c r="D248" s="241"/>
      <c r="E248" s="721">
        <f t="shared" ref="E248:J248" si="62">E166-(E213+E218+E222+D225+E90+E258+E228+D231+E237+E263)</f>
        <v>-1153.6743265341483</v>
      </c>
      <c r="F248" s="721">
        <f t="shared" si="62"/>
        <v>16.451170872813236</v>
      </c>
      <c r="G248" s="721">
        <f t="shared" si="62"/>
        <v>-98.221143680502792</v>
      </c>
      <c r="H248" s="721">
        <f t="shared" si="62"/>
        <v>-257.60452860266014</v>
      </c>
      <c r="I248" s="721">
        <f t="shared" si="62"/>
        <v>-9.9020988420270442</v>
      </c>
      <c r="J248" s="721">
        <f t="shared" si="62"/>
        <v>-2681.9366235450107</v>
      </c>
      <c r="L248" s="109" t="s">
        <v>243</v>
      </c>
    </row>
    <row r="249" spans="1:16">
      <c r="A249" s="202"/>
      <c r="B249" s="241"/>
      <c r="C249" s="241"/>
      <c r="D249" s="241"/>
      <c r="E249" s="170"/>
      <c r="F249" s="170"/>
      <c r="G249" s="170"/>
      <c r="H249" s="170"/>
      <c r="I249" s="170"/>
      <c r="J249" s="170"/>
      <c r="L249" s="539" t="s">
        <v>727</v>
      </c>
    </row>
    <row r="250" spans="1:16" ht="13.5" thickBot="1">
      <c r="A250" s="202"/>
      <c r="B250" s="241"/>
      <c r="C250" s="241"/>
      <c r="D250" s="272"/>
      <c r="E250" s="273"/>
      <c r="F250" s="273"/>
      <c r="G250" s="273"/>
      <c r="H250" s="553"/>
      <c r="I250" s="553"/>
      <c r="J250" s="553"/>
      <c r="L250" s="539" t="s">
        <v>728</v>
      </c>
    </row>
    <row r="251" spans="1:16">
      <c r="A251" s="202"/>
      <c r="B251" s="260"/>
      <c r="C251" s="261"/>
      <c r="D251" s="241"/>
      <c r="E251" s="170" t="s">
        <v>39</v>
      </c>
      <c r="F251" s="170"/>
      <c r="G251" s="170"/>
      <c r="H251" s="244"/>
      <c r="I251" s="244"/>
      <c r="J251" s="263"/>
      <c r="L251" s="539" t="s">
        <v>729</v>
      </c>
      <c r="O251" s="170"/>
      <c r="P251" s="170"/>
    </row>
    <row r="252" spans="1:16">
      <c r="A252" s="202"/>
      <c r="B252" s="262"/>
      <c r="C252" s="241"/>
      <c r="D252" s="264" t="s">
        <v>635</v>
      </c>
      <c r="E252" s="711">
        <f>E90*E253</f>
        <v>-1187.5788136386891</v>
      </c>
      <c r="F252" s="711">
        <f>F90*F253</f>
        <v>-1309.2436529524782</v>
      </c>
      <c r="G252" s="711">
        <f>G90*G253</f>
        <v>-1483.2372684669513</v>
      </c>
      <c r="H252" s="711">
        <f>H90*H253</f>
        <v>-1674.3994692597621</v>
      </c>
      <c r="I252" s="711">
        <f>I90*I253</f>
        <v>-2080.3673251558112</v>
      </c>
      <c r="J252" s="722">
        <f>I252*$J$109</f>
        <v>-2142.7783449104854</v>
      </c>
      <c r="O252" s="265"/>
      <c r="P252" s="265"/>
    </row>
    <row r="253" spans="1:16">
      <c r="A253" s="202"/>
      <c r="B253" s="262"/>
      <c r="C253" s="241"/>
      <c r="D253" s="266"/>
      <c r="E253" s="266">
        <v>-0.42499999999999999</v>
      </c>
      <c r="F253" s="266">
        <f>E253</f>
        <v>-0.42499999999999999</v>
      </c>
      <c r="G253" s="266">
        <f>F253</f>
        <v>-0.42499999999999999</v>
      </c>
      <c r="H253" s="266">
        <f>G253</f>
        <v>-0.42499999999999999</v>
      </c>
      <c r="I253" s="266">
        <f>H253</f>
        <v>-0.42499999999999999</v>
      </c>
      <c r="J253" s="267"/>
      <c r="O253" s="268"/>
      <c r="P253" s="268"/>
    </row>
    <row r="254" spans="1:16">
      <c r="A254" s="202"/>
      <c r="B254" s="262"/>
      <c r="C254" s="241"/>
      <c r="D254" s="264"/>
      <c r="E254" s="269" t="s">
        <v>717</v>
      </c>
      <c r="F254" s="50"/>
      <c r="G254" s="50"/>
      <c r="H254" s="50"/>
      <c r="I254" s="50"/>
      <c r="J254" s="267"/>
      <c r="O254" s="268"/>
      <c r="P254" s="268"/>
    </row>
    <row r="255" spans="1:16">
      <c r="A255" s="202"/>
      <c r="B255" s="262"/>
      <c r="C255" s="241"/>
      <c r="D255" s="264" t="s">
        <v>636</v>
      </c>
      <c r="E255" s="711">
        <f>E256</f>
        <v>0</v>
      </c>
      <c r="F255" s="711">
        <f>F256</f>
        <v>0</v>
      </c>
      <c r="G255" s="711">
        <f>G256</f>
        <v>0</v>
      </c>
      <c r="H255" s="711">
        <f>H256</f>
        <v>0</v>
      </c>
      <c r="I255" s="711">
        <f>I256</f>
        <v>0</v>
      </c>
      <c r="J255" s="722">
        <f>I255*$J$109</f>
        <v>0</v>
      </c>
      <c r="O255" s="268"/>
      <c r="P255" s="268"/>
    </row>
    <row r="256" spans="1:16">
      <c r="A256" s="202"/>
      <c r="B256" s="262"/>
      <c r="C256" s="241"/>
      <c r="D256" s="264"/>
      <c r="E256" s="270">
        <v>0</v>
      </c>
      <c r="F256" s="270">
        <v>0</v>
      </c>
      <c r="G256" s="270">
        <f>F256</f>
        <v>0</v>
      </c>
      <c r="H256" s="270">
        <f>G256</f>
        <v>0</v>
      </c>
      <c r="I256" s="270">
        <f>H256</f>
        <v>0</v>
      </c>
      <c r="J256" s="267"/>
      <c r="O256" s="170"/>
      <c r="P256" s="170"/>
    </row>
    <row r="257" spans="1:16">
      <c r="A257" s="202"/>
      <c r="B257" s="262"/>
      <c r="C257" s="241"/>
      <c r="D257" s="264"/>
      <c r="E257" s="269" t="s">
        <v>37</v>
      </c>
      <c r="F257" s="50"/>
      <c r="G257" s="50"/>
      <c r="H257" s="50"/>
      <c r="I257" s="50"/>
      <c r="J257" s="267"/>
      <c r="O257" s="170"/>
      <c r="P257" s="170"/>
    </row>
    <row r="258" spans="1:16" ht="13.5" thickBot="1">
      <c r="A258" s="202"/>
      <c r="B258" s="262"/>
      <c r="C258" s="241"/>
      <c r="D258" s="264" t="s">
        <v>637</v>
      </c>
      <c r="E258" s="723">
        <f t="shared" ref="E258:J258" si="63">E252+E255</f>
        <v>-1187.5788136386891</v>
      </c>
      <c r="F258" s="723">
        <f t="shared" si="63"/>
        <v>-1309.2436529524782</v>
      </c>
      <c r="G258" s="723">
        <f t="shared" si="63"/>
        <v>-1483.2372684669513</v>
      </c>
      <c r="H258" s="723">
        <f t="shared" si="63"/>
        <v>-1674.3994692597621</v>
      </c>
      <c r="I258" s="723">
        <f t="shared" si="63"/>
        <v>-2080.3673251558112</v>
      </c>
      <c r="J258" s="724">
        <f t="shared" si="63"/>
        <v>-2142.7783449104854</v>
      </c>
      <c r="O258" s="170"/>
      <c r="P258" s="170"/>
    </row>
    <row r="259" spans="1:16" ht="14.25" thickTop="1" thickBot="1">
      <c r="A259" s="202"/>
      <c r="B259" s="271"/>
      <c r="C259" s="272"/>
      <c r="D259" s="272"/>
      <c r="E259" s="273" t="s">
        <v>38</v>
      </c>
      <c r="F259" s="273"/>
      <c r="G259" s="273"/>
      <c r="H259" s="273"/>
      <c r="I259" s="273"/>
      <c r="J259" s="274"/>
      <c r="O259" s="170"/>
      <c r="P259" s="170"/>
    </row>
    <row r="260" spans="1:16" ht="13.5" thickBot="1">
      <c r="A260" s="202"/>
      <c r="B260" s="241"/>
      <c r="C260" s="241"/>
      <c r="D260" s="241"/>
      <c r="E260" s="170"/>
      <c r="F260" s="170"/>
      <c r="G260" s="170"/>
      <c r="H260" s="170"/>
      <c r="I260" s="170"/>
      <c r="J260" s="170"/>
      <c r="O260" s="268"/>
      <c r="P260" s="268"/>
    </row>
    <row r="261" spans="1:16">
      <c r="A261" s="202"/>
      <c r="B261" s="260"/>
      <c r="C261" s="555"/>
      <c r="D261" s="556" t="s">
        <v>730</v>
      </c>
      <c r="E261" s="557" t="s">
        <v>736</v>
      </c>
      <c r="F261" s="557"/>
      <c r="G261" s="557"/>
      <c r="H261" s="557"/>
      <c r="I261" s="555"/>
      <c r="J261" s="558"/>
      <c r="O261" s="268"/>
      <c r="P261" s="268"/>
    </row>
    <row r="262" spans="1:16">
      <c r="A262" s="202"/>
      <c r="B262" s="262"/>
      <c r="C262" s="241"/>
      <c r="D262" s="264" t="s">
        <v>731</v>
      </c>
      <c r="E262" s="170"/>
      <c r="F262" s="170"/>
      <c r="G262" s="170"/>
      <c r="H262" s="170"/>
      <c r="I262" s="170"/>
      <c r="J262" s="267"/>
      <c r="O262" s="268"/>
      <c r="P262" s="268"/>
    </row>
    <row r="263" spans="1:16">
      <c r="A263" s="202"/>
      <c r="B263" s="262"/>
      <c r="C263" s="241"/>
      <c r="D263" s="554" t="str">
        <f>E261</f>
        <v>Treasury Stock Purchases:</v>
      </c>
      <c r="E263" s="718">
        <v>-1500</v>
      </c>
      <c r="F263" s="718">
        <f>E263</f>
        <v>-1500</v>
      </c>
      <c r="G263" s="718">
        <f t="shared" ref="G263:I263" si="64">F263</f>
        <v>-1500</v>
      </c>
      <c r="H263" s="718">
        <f t="shared" si="64"/>
        <v>-1500</v>
      </c>
      <c r="I263" s="718">
        <f t="shared" si="64"/>
        <v>-1500</v>
      </c>
      <c r="J263" s="267"/>
      <c r="O263" s="268"/>
      <c r="P263" s="268"/>
    </row>
    <row r="264" spans="1:16">
      <c r="A264" s="202"/>
      <c r="B264" s="262"/>
      <c r="C264" s="241"/>
      <c r="D264" s="241"/>
      <c r="E264" s="550">
        <v>0</v>
      </c>
      <c r="F264" s="550">
        <v>0</v>
      </c>
      <c r="G264" s="550">
        <v>0</v>
      </c>
      <c r="H264" s="550">
        <v>0</v>
      </c>
      <c r="I264" s="550">
        <v>0</v>
      </c>
      <c r="J264" s="267"/>
      <c r="O264" s="268"/>
      <c r="P264" s="268"/>
    </row>
    <row r="265" spans="1:16">
      <c r="A265" s="202"/>
      <c r="B265" s="262"/>
      <c r="C265" s="241"/>
      <c r="D265" s="241"/>
      <c r="E265" s="219"/>
      <c r="F265" s="219"/>
      <c r="G265" s="219"/>
      <c r="H265" s="219"/>
      <c r="I265" s="219"/>
      <c r="J265" s="267"/>
      <c r="O265" s="268"/>
      <c r="P265" s="268"/>
    </row>
    <row r="266" spans="1:16">
      <c r="A266" s="202"/>
      <c r="B266" s="262"/>
      <c r="C266" s="241"/>
      <c r="D266" s="264" t="s">
        <v>732</v>
      </c>
      <c r="E266" s="751">
        <f t="shared" ref="E266:J266" si="65">E248</f>
        <v>-1153.6743265341483</v>
      </c>
      <c r="F266" s="751">
        <f t="shared" si="65"/>
        <v>16.451170872813236</v>
      </c>
      <c r="G266" s="751">
        <f t="shared" si="65"/>
        <v>-98.221143680502792</v>
      </c>
      <c r="H266" s="751">
        <f t="shared" si="65"/>
        <v>-257.60452860266014</v>
      </c>
      <c r="I266" s="751">
        <f t="shared" si="65"/>
        <v>-9.9020988420270442</v>
      </c>
      <c r="J266" s="752">
        <f t="shared" si="65"/>
        <v>-2681.9366235450107</v>
      </c>
      <c r="O266" s="268"/>
      <c r="P266" s="268"/>
    </row>
    <row r="267" spans="1:16">
      <c r="A267" s="202"/>
      <c r="B267" s="262"/>
      <c r="C267" s="241"/>
      <c r="D267" s="241"/>
      <c r="E267" s="753" t="s">
        <v>734</v>
      </c>
      <c r="F267" s="754"/>
      <c r="G267" s="754"/>
      <c r="H267" s="754"/>
      <c r="I267" s="754"/>
      <c r="J267" s="755"/>
      <c r="O267" s="268"/>
      <c r="P267" s="268"/>
    </row>
    <row r="268" spans="1:16" ht="13.5" thickBot="1">
      <c r="A268" s="202"/>
      <c r="B268" s="262"/>
      <c r="C268" s="241"/>
      <c r="D268" s="264" t="s">
        <v>733</v>
      </c>
      <c r="E268" s="756">
        <f t="shared" ref="E268:J268" si="66">E263+E266</f>
        <v>-2653.6743265341483</v>
      </c>
      <c r="F268" s="756">
        <f t="shared" si="66"/>
        <v>-1483.5488291271868</v>
      </c>
      <c r="G268" s="756">
        <f t="shared" si="66"/>
        <v>-1598.2211436805028</v>
      </c>
      <c r="H268" s="756">
        <f t="shared" si="66"/>
        <v>-1757.6045286026601</v>
      </c>
      <c r="I268" s="756">
        <f t="shared" si="66"/>
        <v>-1509.902098842027</v>
      </c>
      <c r="J268" s="757">
        <f t="shared" si="66"/>
        <v>-2681.9366235450107</v>
      </c>
      <c r="O268" s="268"/>
      <c r="P268" s="268"/>
    </row>
    <row r="269" spans="1:16" ht="14.25" thickTop="1" thickBot="1">
      <c r="A269" s="202"/>
      <c r="B269" s="271"/>
      <c r="C269" s="272"/>
      <c r="D269" s="272"/>
      <c r="E269" s="273" t="s">
        <v>735</v>
      </c>
      <c r="F269" s="273"/>
      <c r="G269" s="273"/>
      <c r="H269" s="273"/>
      <c r="I269" s="273"/>
      <c r="J269" s="274"/>
      <c r="O269" s="268"/>
      <c r="P269" s="268"/>
    </row>
    <row r="270" spans="1:16">
      <c r="A270" s="202"/>
      <c r="B270" s="241"/>
      <c r="C270" s="241"/>
      <c r="D270" s="241"/>
      <c r="E270" s="170"/>
      <c r="F270" s="170"/>
      <c r="G270" s="170"/>
      <c r="H270" s="170"/>
      <c r="I270" s="170"/>
      <c r="J270" s="170"/>
      <c r="O270" s="268"/>
      <c r="P270" s="268"/>
    </row>
    <row r="271" spans="1:16">
      <c r="A271" s="202"/>
      <c r="B271" s="241"/>
      <c r="C271" s="241"/>
      <c r="D271" s="241"/>
      <c r="E271" s="170"/>
      <c r="F271" s="170"/>
      <c r="G271" s="170"/>
      <c r="H271" s="170"/>
      <c r="I271" s="170"/>
      <c r="J271" s="170"/>
      <c r="O271" s="268"/>
      <c r="P271" s="268"/>
    </row>
    <row r="272" spans="1:16">
      <c r="A272" s="202"/>
      <c r="B272" s="241"/>
      <c r="C272" s="241"/>
      <c r="D272" s="241"/>
      <c r="E272" s="170"/>
      <c r="F272" s="170"/>
      <c r="G272" s="170"/>
      <c r="H272" s="170"/>
      <c r="I272" s="170"/>
      <c r="J272" s="170"/>
      <c r="O272" s="265"/>
      <c r="P272" s="265"/>
    </row>
    <row r="273" spans="1:16">
      <c r="A273" s="180" t="s">
        <v>469</v>
      </c>
      <c r="B273" s="181" t="s">
        <v>27</v>
      </c>
      <c r="C273" s="182"/>
      <c r="D273" s="182"/>
      <c r="E273" s="183"/>
      <c r="F273" s="184"/>
      <c r="G273" s="184"/>
      <c r="H273" s="184"/>
      <c r="I273" s="184"/>
      <c r="J273" s="185"/>
      <c r="O273" s="268"/>
      <c r="P273" s="268"/>
    </row>
    <row r="274" spans="1:16">
      <c r="A274" s="186" t="str">
        <f>Data!A9</f>
        <v>Analyst Name:</v>
      </c>
      <c r="B274" s="275" t="str">
        <f>Data!B9</f>
        <v>Wahlen, Baginski &amp; Bradshaw</v>
      </c>
      <c r="C274" s="182"/>
      <c r="D274" s="182"/>
      <c r="E274" s="183"/>
      <c r="F274" s="184"/>
      <c r="G274" s="184"/>
      <c r="H274" s="184"/>
      <c r="I274" s="184"/>
      <c r="J274" s="185"/>
      <c r="O274" s="268"/>
      <c r="P274" s="268"/>
    </row>
    <row r="275" spans="1:16">
      <c r="A275" s="186" t="str">
        <f>Data!A10</f>
        <v>Company Name:</v>
      </c>
      <c r="B275" s="276" t="str">
        <f>Data!B10</f>
        <v>Starbucks</v>
      </c>
      <c r="C275" s="277"/>
      <c r="D275" s="277"/>
      <c r="E275" s="278"/>
      <c r="F275" s="178"/>
      <c r="G275" s="178"/>
      <c r="H275" s="178"/>
      <c r="I275" s="178"/>
      <c r="J275" s="234"/>
      <c r="O275" s="268"/>
      <c r="P275" s="268"/>
    </row>
    <row r="276" spans="1:16" ht="13.5" thickBot="1">
      <c r="A276" s="202"/>
      <c r="B276" s="279"/>
      <c r="C276" s="280"/>
      <c r="D276" s="280"/>
      <c r="E276" s="281"/>
      <c r="F276" s="281"/>
      <c r="G276" s="281"/>
      <c r="H276" s="281"/>
      <c r="I276" s="281"/>
      <c r="J276" s="281"/>
      <c r="O276" s="170"/>
      <c r="P276" s="170"/>
    </row>
    <row r="277" spans="1:16" ht="13.5" thickTop="1">
      <c r="A277" s="213"/>
      <c r="B277" s="52"/>
      <c r="C277" s="206" t="s">
        <v>477</v>
      </c>
      <c r="D277" s="207"/>
      <c r="E277" s="208" t="s">
        <v>478</v>
      </c>
      <c r="F277" s="209"/>
      <c r="G277" s="209"/>
      <c r="H277" s="209"/>
      <c r="I277" s="209"/>
      <c r="J277" s="208"/>
      <c r="L277" s="109" t="s">
        <v>6</v>
      </c>
      <c r="O277" s="170"/>
      <c r="P277" s="170"/>
    </row>
    <row r="278" spans="1:16">
      <c r="A278" s="213" t="s">
        <v>491</v>
      </c>
      <c r="B278" s="211"/>
      <c r="C278" s="211">
        <f>C19</f>
        <v>2014</v>
      </c>
      <c r="D278" s="211">
        <f>D19</f>
        <v>2015</v>
      </c>
      <c r="E278" s="212" t="str">
        <f t="shared" ref="E278:J278" si="67">E$19</f>
        <v>Year +1</v>
      </c>
      <c r="F278" s="212" t="str">
        <f t="shared" si="67"/>
        <v>Year +2</v>
      </c>
      <c r="G278" s="212" t="str">
        <f t="shared" si="67"/>
        <v>Year +3</v>
      </c>
      <c r="H278" s="212" t="str">
        <f t="shared" si="67"/>
        <v>Year +4</v>
      </c>
      <c r="I278" s="212" t="str">
        <f t="shared" si="67"/>
        <v>Year +5</v>
      </c>
      <c r="J278" s="212" t="str">
        <f t="shared" si="67"/>
        <v>Year +6</v>
      </c>
      <c r="L278" s="17" t="s">
        <v>175</v>
      </c>
      <c r="O278" s="268"/>
      <c r="P278" s="268"/>
    </row>
    <row r="279" spans="1:16">
      <c r="A279" s="213"/>
      <c r="B279" s="214"/>
      <c r="C279" s="214"/>
      <c r="D279" s="214"/>
      <c r="E279" s="97"/>
      <c r="F279" s="50"/>
      <c r="G279" s="50"/>
      <c r="H279" s="50"/>
      <c r="I279" s="50"/>
      <c r="J279" s="251"/>
      <c r="O279" s="268"/>
      <c r="P279" s="268"/>
    </row>
    <row r="280" spans="1:16">
      <c r="A280" s="213" t="s">
        <v>417</v>
      </c>
      <c r="B280" s="282"/>
      <c r="C280" s="710">
        <f>C84</f>
        <v>2067.7000000000003</v>
      </c>
      <c r="D280" s="725">
        <f t="shared" ref="D280:J280" si="68">D84</f>
        <v>2759.3000000000011</v>
      </c>
      <c r="E280" s="725">
        <f t="shared" si="68"/>
        <v>2794.3030909145627</v>
      </c>
      <c r="F280" s="725">
        <f t="shared" si="68"/>
        <v>3080.5733010646545</v>
      </c>
      <c r="G280" s="725">
        <f t="shared" si="68"/>
        <v>3489.9700434516499</v>
      </c>
      <c r="H280" s="725">
        <f t="shared" si="68"/>
        <v>3939.7634570817931</v>
      </c>
      <c r="I280" s="725">
        <f t="shared" si="68"/>
        <v>4894.9819415430848</v>
      </c>
      <c r="J280" s="725">
        <f t="shared" si="68"/>
        <v>5041.8313997893692</v>
      </c>
      <c r="K280" s="17">
        <v>1</v>
      </c>
      <c r="O280" s="170"/>
      <c r="P280" s="170"/>
    </row>
    <row r="281" spans="1:16">
      <c r="A281" s="499" t="s">
        <v>638</v>
      </c>
      <c r="B281" s="282"/>
      <c r="C281" s="710">
        <f>B151-C151</f>
        <v>480.5</v>
      </c>
      <c r="D281" s="725">
        <f t="shared" ref="D281" si="69">C151-D151</f>
        <v>491.39999999999964</v>
      </c>
      <c r="E281" s="725">
        <f>D151-E151</f>
        <v>1104.1800000000003</v>
      </c>
      <c r="F281" s="725">
        <f t="shared" ref="F281:J281" si="70">E151-F151</f>
        <v>1254.1800000000003</v>
      </c>
      <c r="G281" s="725">
        <f t="shared" si="70"/>
        <v>1434.1800000000003</v>
      </c>
      <c r="H281" s="725">
        <f t="shared" si="70"/>
        <v>1644.1800000000003</v>
      </c>
      <c r="I281" s="725">
        <f t="shared" si="70"/>
        <v>1151.58</v>
      </c>
      <c r="J281" s="725">
        <f t="shared" si="70"/>
        <v>364.25400000000081</v>
      </c>
      <c r="K281" s="17">
        <v>2</v>
      </c>
      <c r="L281" s="17" t="s">
        <v>176</v>
      </c>
      <c r="O281" s="170"/>
      <c r="P281" s="170"/>
    </row>
    <row r="282" spans="1:16">
      <c r="A282" s="499" t="s">
        <v>639</v>
      </c>
      <c r="B282" s="282"/>
      <c r="C282" s="710">
        <v>0</v>
      </c>
      <c r="D282" s="725">
        <v>0</v>
      </c>
      <c r="E282" s="725">
        <v>0</v>
      </c>
      <c r="F282" s="725">
        <v>0</v>
      </c>
      <c r="G282" s="725">
        <v>0</v>
      </c>
      <c r="H282" s="725">
        <v>0</v>
      </c>
      <c r="I282" s="725">
        <v>0</v>
      </c>
      <c r="J282" s="725">
        <v>0</v>
      </c>
      <c r="K282" s="17">
        <v>3</v>
      </c>
      <c r="L282" s="17" t="s">
        <v>524</v>
      </c>
      <c r="O282" s="170"/>
      <c r="P282" s="170"/>
    </row>
    <row r="283" spans="1:16">
      <c r="A283" s="499" t="s">
        <v>640</v>
      </c>
      <c r="B283" s="282"/>
      <c r="C283" s="710">
        <f>B121-C121</f>
        <v>-69.600000000000023</v>
      </c>
      <c r="D283" s="725">
        <f t="shared" ref="D283:J283" si="71">C121-D121</f>
        <v>-88</v>
      </c>
      <c r="E283" s="725">
        <f t="shared" si="71"/>
        <v>-106.021493386472</v>
      </c>
      <c r="F283" s="725">
        <f t="shared" si="71"/>
        <v>-82.776150312150662</v>
      </c>
      <c r="G283" s="725">
        <f t="shared" si="71"/>
        <v>-107.7100482113359</v>
      </c>
      <c r="H283" s="725">
        <f t="shared" si="71"/>
        <v>-117.9350212425702</v>
      </c>
      <c r="I283" s="725">
        <f t="shared" si="71"/>
        <v>-129.09503670076629</v>
      </c>
      <c r="J283" s="725">
        <f t="shared" si="71"/>
        <v>-37.876132495598995</v>
      </c>
      <c r="K283" s="17">
        <v>4</v>
      </c>
      <c r="O283" s="268"/>
      <c r="P283" s="268"/>
    </row>
    <row r="284" spans="1:16">
      <c r="A284" s="499" t="s">
        <v>589</v>
      </c>
      <c r="B284" s="282"/>
      <c r="C284" s="710">
        <f>B124-C124</f>
        <v>20.299999999999955</v>
      </c>
      <c r="D284" s="725">
        <f t="shared" ref="D284:J284" si="72">C124-D124</f>
        <v>-215.5</v>
      </c>
      <c r="E284" s="725">
        <f t="shared" si="72"/>
        <v>-21.259338149377982</v>
      </c>
      <c r="F284" s="725">
        <f t="shared" si="72"/>
        <v>-113.05266979341923</v>
      </c>
      <c r="G284" s="725">
        <f t="shared" si="72"/>
        <v>-145.19081437916998</v>
      </c>
      <c r="H284" s="725">
        <f t="shared" si="72"/>
        <v>-156.79816413889102</v>
      </c>
      <c r="I284" s="725">
        <f t="shared" si="72"/>
        <v>-169.26916239560182</v>
      </c>
      <c r="J284" s="725">
        <f t="shared" si="72"/>
        <v>-57.359104465693918</v>
      </c>
      <c r="K284" s="17">
        <v>5</v>
      </c>
      <c r="O284" s="170"/>
      <c r="P284" s="170"/>
    </row>
    <row r="285" spans="1:16">
      <c r="A285" s="499" t="s">
        <v>590</v>
      </c>
      <c r="B285" s="282"/>
      <c r="C285" s="710">
        <f>B127-C127</f>
        <v>2.0999999999999659</v>
      </c>
      <c r="D285" s="725">
        <f t="shared" ref="D285:J285" si="73">C127-D127</f>
        <v>-48.599999999999966</v>
      </c>
      <c r="E285" s="725">
        <f t="shared" si="73"/>
        <v>-17.754801798120184</v>
      </c>
      <c r="F285" s="725">
        <f t="shared" si="73"/>
        <v>-17.754801798120184</v>
      </c>
      <c r="G285" s="725">
        <f t="shared" si="73"/>
        <v>-17.754801798120127</v>
      </c>
      <c r="H285" s="725">
        <f t="shared" si="73"/>
        <v>-17.754801798120127</v>
      </c>
      <c r="I285" s="725">
        <f t="shared" si="73"/>
        <v>-17.754801798120184</v>
      </c>
      <c r="J285" s="725">
        <f t="shared" si="73"/>
        <v>-12.689220269718021</v>
      </c>
      <c r="K285" s="17">
        <v>6</v>
      </c>
      <c r="O285" s="170"/>
      <c r="P285" s="170"/>
    </row>
    <row r="286" spans="1:16">
      <c r="A286" s="499" t="s">
        <v>591</v>
      </c>
      <c r="B286" s="282"/>
      <c r="C286" s="710">
        <f>B133-C133</f>
        <v>0</v>
      </c>
      <c r="D286" s="725">
        <f t="shared" ref="D286:J286" si="74">C133-D133</f>
        <v>0</v>
      </c>
      <c r="E286" s="725">
        <f t="shared" si="74"/>
        <v>0</v>
      </c>
      <c r="F286" s="725">
        <f t="shared" si="74"/>
        <v>0</v>
      </c>
      <c r="G286" s="725">
        <f t="shared" si="74"/>
        <v>0</v>
      </c>
      <c r="H286" s="725">
        <f t="shared" si="74"/>
        <v>0</v>
      </c>
      <c r="I286" s="725">
        <f t="shared" si="74"/>
        <v>0</v>
      </c>
      <c r="J286" s="725">
        <f t="shared" si="74"/>
        <v>0</v>
      </c>
      <c r="K286" s="17">
        <v>7</v>
      </c>
      <c r="L286" s="170"/>
      <c r="N286" s="170"/>
      <c r="O286" s="265"/>
      <c r="P286" s="265"/>
    </row>
    <row r="287" spans="1:16">
      <c r="A287" s="499" t="s">
        <v>592</v>
      </c>
      <c r="B287" s="282"/>
      <c r="C287" s="710">
        <f>B136-C136</f>
        <v>0</v>
      </c>
      <c r="D287" s="725">
        <f t="shared" ref="D287:J287" si="75">C136-D136</f>
        <v>0</v>
      </c>
      <c r="E287" s="725">
        <f t="shared" si="75"/>
        <v>0</v>
      </c>
      <c r="F287" s="725">
        <f t="shared" si="75"/>
        <v>0</v>
      </c>
      <c r="G287" s="725">
        <f t="shared" si="75"/>
        <v>0</v>
      </c>
      <c r="H287" s="725">
        <f t="shared" si="75"/>
        <v>0</v>
      </c>
      <c r="I287" s="725">
        <f t="shared" si="75"/>
        <v>0</v>
      </c>
      <c r="J287" s="725">
        <f t="shared" si="75"/>
        <v>0</v>
      </c>
      <c r="K287" s="17">
        <v>8</v>
      </c>
      <c r="L287" s="170"/>
      <c r="N287" s="170"/>
      <c r="O287" s="268"/>
      <c r="P287" s="268"/>
    </row>
    <row r="288" spans="1:16">
      <c r="A288" s="499" t="s">
        <v>641</v>
      </c>
      <c r="B288" s="282"/>
      <c r="C288" s="710">
        <f>C171-B171</f>
        <v>42.000000000000057</v>
      </c>
      <c r="D288" s="725">
        <f t="shared" ref="D288:J288" si="76">D171-C171</f>
        <v>150.5</v>
      </c>
      <c r="E288" s="725">
        <f t="shared" si="76"/>
        <v>-18.739477587824467</v>
      </c>
      <c r="F288" s="725">
        <f t="shared" si="76"/>
        <v>63.568015132416804</v>
      </c>
      <c r="G288" s="725">
        <f t="shared" si="76"/>
        <v>75.060799103012528</v>
      </c>
      <c r="H288" s="725">
        <f t="shared" si="76"/>
        <v>79.289508900328428</v>
      </c>
      <c r="I288" s="725">
        <f t="shared" si="76"/>
        <v>85.591260516123725</v>
      </c>
      <c r="J288" s="725">
        <f t="shared" si="76"/>
        <v>29.069103181921719</v>
      </c>
      <c r="K288" s="17">
        <v>9</v>
      </c>
      <c r="L288" s="170"/>
      <c r="N288" s="170"/>
      <c r="O288" s="268"/>
      <c r="P288" s="268"/>
    </row>
    <row r="289" spans="1:16">
      <c r="A289" s="499" t="s">
        <v>642</v>
      </c>
      <c r="B289" s="282"/>
      <c r="C289" s="710">
        <f>C174-B174</f>
        <v>245.10000000000014</v>
      </c>
      <c r="D289" s="725">
        <f t="shared" ref="D289:J289" si="77">D174-C174</f>
        <v>246.29999999999995</v>
      </c>
      <c r="E289" s="725">
        <f t="shared" si="77"/>
        <v>231.14168024157334</v>
      </c>
      <c r="F289" s="725">
        <f t="shared" si="77"/>
        <v>183.04304292808206</v>
      </c>
      <c r="G289" s="725">
        <f t="shared" si="77"/>
        <v>241.06602023775713</v>
      </c>
      <c r="H289" s="725">
        <f t="shared" si="77"/>
        <v>263.25872039468777</v>
      </c>
      <c r="I289" s="725">
        <f t="shared" si="77"/>
        <v>287.34735376151593</v>
      </c>
      <c r="J289" s="725">
        <f t="shared" si="77"/>
        <v>88.996704526908616</v>
      </c>
      <c r="K289" s="17">
        <v>10</v>
      </c>
      <c r="L289" s="170"/>
      <c r="N289" s="170"/>
      <c r="O289" s="268"/>
      <c r="P289" s="268"/>
    </row>
    <row r="290" spans="1:16">
      <c r="A290" s="758" t="s">
        <v>889</v>
      </c>
      <c r="B290" s="282"/>
      <c r="C290" s="710">
        <f>C186-B186</f>
        <v>17.599999999999994</v>
      </c>
      <c r="D290" s="725">
        <f t="shared" ref="D290:J290" si="78">D186-C186</f>
        <v>28.700000000000017</v>
      </c>
      <c r="E290" s="725">
        <f t="shared" si="78"/>
        <v>6.7439999999999998</v>
      </c>
      <c r="F290" s="725">
        <f t="shared" si="78"/>
        <v>6.9463200000000143</v>
      </c>
      <c r="G290" s="725">
        <f t="shared" si="78"/>
        <v>7.1547096000000181</v>
      </c>
      <c r="H290" s="725">
        <f t="shared" si="78"/>
        <v>7.3693508880000138</v>
      </c>
      <c r="I290" s="725">
        <f t="shared" si="78"/>
        <v>7.590431414639994</v>
      </c>
      <c r="J290" s="725">
        <f t="shared" si="78"/>
        <v>7.8181443570792339</v>
      </c>
      <c r="K290" s="17">
        <v>11</v>
      </c>
      <c r="L290" s="170"/>
      <c r="N290" s="170"/>
      <c r="O290" s="268"/>
      <c r="P290" s="268"/>
    </row>
    <row r="291" spans="1:16">
      <c r="A291" s="758" t="s">
        <v>890</v>
      </c>
      <c r="B291" s="282"/>
      <c r="C291" s="710">
        <f>C189-B189</f>
        <v>140.79999999999995</v>
      </c>
      <c r="D291" s="725">
        <f t="shared" ref="D291:J291" si="79">D189-C189</f>
        <v>189.29999999999995</v>
      </c>
      <c r="E291" s="725">
        <f t="shared" si="79"/>
        <v>129.15157892977777</v>
      </c>
      <c r="F291" s="725">
        <f t="shared" si="79"/>
        <v>102.27622288444763</v>
      </c>
      <c r="G291" s="725">
        <f t="shared" si="79"/>
        <v>134.69685392736142</v>
      </c>
      <c r="H291" s="725">
        <f t="shared" si="79"/>
        <v>147.09713700476709</v>
      </c>
      <c r="I291" s="725">
        <f t="shared" si="79"/>
        <v>160.55678231986099</v>
      </c>
      <c r="J291" s="725">
        <f t="shared" si="79"/>
        <v>49.727357251986405</v>
      </c>
      <c r="K291" s="17">
        <v>12</v>
      </c>
      <c r="L291" s="170"/>
      <c r="N291" s="170"/>
      <c r="O291" s="268"/>
      <c r="P291" s="268"/>
    </row>
    <row r="292" spans="1:16">
      <c r="A292" s="499" t="s">
        <v>594</v>
      </c>
      <c r="B292" s="282"/>
      <c r="C292" s="710">
        <f>C192-B192</f>
        <v>-2784.1</v>
      </c>
      <c r="D292" s="725">
        <f t="shared" ref="D292:J292" si="80">D192-C192</f>
        <v>0</v>
      </c>
      <c r="E292" s="725">
        <f t="shared" si="80"/>
        <v>0</v>
      </c>
      <c r="F292" s="725">
        <f t="shared" si="80"/>
        <v>0</v>
      </c>
      <c r="G292" s="725">
        <f t="shared" si="80"/>
        <v>0</v>
      </c>
      <c r="H292" s="725">
        <f t="shared" si="80"/>
        <v>0</v>
      </c>
      <c r="I292" s="725">
        <f t="shared" si="80"/>
        <v>0</v>
      </c>
      <c r="J292" s="725">
        <f t="shared" si="80"/>
        <v>0</v>
      </c>
      <c r="K292" s="17">
        <v>13</v>
      </c>
      <c r="L292" s="170"/>
      <c r="N292" s="170"/>
      <c r="O292" s="170"/>
      <c r="P292" s="170"/>
    </row>
    <row r="293" spans="1:16">
      <c r="A293" s="499" t="s">
        <v>644</v>
      </c>
      <c r="B293" s="282"/>
      <c r="C293" s="710">
        <f>(B130-C130)+(B154-C154)+(C183-B183)+(C204-B204)</f>
        <v>23.60000000000008</v>
      </c>
      <c r="D293" s="725">
        <f t="shared" ref="D293:J293" si="81">(C130-D130)+(C154-D154)+(D183-C183)+(D204-C204)</f>
        <v>10.029999999999973</v>
      </c>
      <c r="E293" s="725">
        <f t="shared" si="81"/>
        <v>464.65999999999997</v>
      </c>
      <c r="F293" s="725">
        <f t="shared" si="81"/>
        <v>74.600999999999999</v>
      </c>
      <c r="G293" s="725">
        <f t="shared" si="81"/>
        <v>67.140899999999988</v>
      </c>
      <c r="H293" s="725">
        <f t="shared" si="81"/>
        <v>60.426809999999932</v>
      </c>
      <c r="I293" s="725">
        <f t="shared" si="81"/>
        <v>54.384128999999973</v>
      </c>
      <c r="J293" s="725">
        <f t="shared" si="81"/>
        <v>-14.683714830000042</v>
      </c>
      <c r="K293" s="17">
        <v>14</v>
      </c>
      <c r="L293" s="170"/>
      <c r="M293" s="170"/>
      <c r="N293" s="170"/>
      <c r="O293" s="170"/>
      <c r="P293" s="170"/>
    </row>
    <row r="294" spans="1:16">
      <c r="A294" s="499" t="s">
        <v>645</v>
      </c>
      <c r="B294" s="282"/>
      <c r="C294" s="710">
        <f>C201-B201</f>
        <v>34.5</v>
      </c>
      <c r="D294" s="725">
        <f t="shared" ref="D294:J294" si="82">D201-C201</f>
        <v>233.09999999999997</v>
      </c>
      <c r="E294" s="725">
        <f t="shared" si="82"/>
        <v>82.088312974984774</v>
      </c>
      <c r="F294" s="725">
        <f t="shared" si="82"/>
        <v>65.006426275305103</v>
      </c>
      <c r="G294" s="725">
        <f t="shared" si="82"/>
        <v>85.612871275441307</v>
      </c>
      <c r="H294" s="725">
        <f t="shared" si="82"/>
        <v>93.494449856760411</v>
      </c>
      <c r="I294" s="725">
        <f t="shared" si="82"/>
        <v>102.04935554442898</v>
      </c>
      <c r="J294" s="725">
        <f t="shared" si="82"/>
        <v>31.606542477807579</v>
      </c>
      <c r="K294" s="17">
        <v>15</v>
      </c>
      <c r="L294" s="170"/>
      <c r="M294" s="170"/>
      <c r="N294" s="170"/>
      <c r="O294" s="170"/>
      <c r="P294" s="170"/>
    </row>
    <row r="295" spans="1:16">
      <c r="A295" s="499" t="s">
        <v>595</v>
      </c>
      <c r="B295" s="282"/>
      <c r="C295" s="710">
        <f>C207-B207</f>
        <v>0</v>
      </c>
      <c r="D295" s="725">
        <f t="shared" ref="D295:J295" si="83">D207-C207</f>
        <v>0</v>
      </c>
      <c r="E295" s="725">
        <f t="shared" si="83"/>
        <v>0</v>
      </c>
      <c r="F295" s="725">
        <f t="shared" si="83"/>
        <v>0</v>
      </c>
      <c r="G295" s="725">
        <f t="shared" si="83"/>
        <v>0</v>
      </c>
      <c r="H295" s="725">
        <f t="shared" si="83"/>
        <v>0</v>
      </c>
      <c r="I295" s="725">
        <f t="shared" si="83"/>
        <v>0</v>
      </c>
      <c r="J295" s="725">
        <f t="shared" si="83"/>
        <v>0</v>
      </c>
      <c r="K295" s="17">
        <v>16</v>
      </c>
      <c r="L295" s="170"/>
      <c r="M295" s="170"/>
      <c r="N295" s="170"/>
      <c r="O295" s="268"/>
      <c r="P295" s="268"/>
    </row>
    <row r="296" spans="1:16">
      <c r="A296" s="499" t="s">
        <v>596</v>
      </c>
      <c r="B296" s="282"/>
      <c r="C296" s="710">
        <f>C210-B210</f>
        <v>0</v>
      </c>
      <c r="D296" s="725">
        <f t="shared" ref="D296:J296" si="84">D210-C210</f>
        <v>0</v>
      </c>
      <c r="E296" s="725">
        <f t="shared" si="84"/>
        <v>0</v>
      </c>
      <c r="F296" s="725">
        <f t="shared" si="84"/>
        <v>0</v>
      </c>
      <c r="G296" s="725">
        <f t="shared" si="84"/>
        <v>0</v>
      </c>
      <c r="H296" s="725">
        <f t="shared" si="84"/>
        <v>0</v>
      </c>
      <c r="I296" s="725">
        <f t="shared" si="84"/>
        <v>0</v>
      </c>
      <c r="J296" s="725">
        <f t="shared" si="84"/>
        <v>0</v>
      </c>
      <c r="K296" s="17">
        <v>17</v>
      </c>
      <c r="L296" s="170"/>
      <c r="M296" s="170"/>
      <c r="N296" s="170"/>
      <c r="O296" s="268"/>
      <c r="P296" s="268"/>
    </row>
    <row r="297" spans="1:16">
      <c r="A297" s="213" t="s">
        <v>177</v>
      </c>
      <c r="B297" s="282"/>
      <c r="C297" s="713">
        <f>SUM(C280:C296)</f>
        <v>220.50000000000017</v>
      </c>
      <c r="D297" s="726">
        <f t="shared" ref="D297:J297" si="85">SUM(D280:D296)</f>
        <v>3756.53</v>
      </c>
      <c r="E297" s="726">
        <f t="shared" si="85"/>
        <v>4648.4935521391044</v>
      </c>
      <c r="F297" s="726">
        <f t="shared" si="85"/>
        <v>4616.610706381216</v>
      </c>
      <c r="G297" s="726">
        <f t="shared" si="85"/>
        <v>5264.2265332065981</v>
      </c>
      <c r="H297" s="726">
        <f t="shared" si="85"/>
        <v>5942.3914469467563</v>
      </c>
      <c r="I297" s="726">
        <f t="shared" si="85"/>
        <v>6427.9622532051662</v>
      </c>
      <c r="J297" s="726">
        <f t="shared" si="85"/>
        <v>5490.6950795240609</v>
      </c>
      <c r="K297" s="17">
        <v>18</v>
      </c>
      <c r="L297" s="170"/>
      <c r="M297" s="170"/>
      <c r="N297" s="170"/>
      <c r="O297" s="170"/>
      <c r="P297" s="170"/>
    </row>
    <row r="298" spans="1:16">
      <c r="A298" s="499" t="s">
        <v>646</v>
      </c>
      <c r="B298" s="282"/>
      <c r="C298" s="710">
        <f>B148-C148</f>
        <v>-799</v>
      </c>
      <c r="D298" s="725">
        <f t="shared" ref="D298" si="86">C148-D148</f>
        <v>-1060.6999999999989</v>
      </c>
      <c r="E298" s="725">
        <f>D148-E148</f>
        <v>-1400</v>
      </c>
      <c r="F298" s="725">
        <f t="shared" ref="F298:J298" si="87">E148-F148</f>
        <v>-1500</v>
      </c>
      <c r="G298" s="725">
        <f t="shared" si="87"/>
        <v>-1800</v>
      </c>
      <c r="H298" s="725">
        <f t="shared" si="87"/>
        <v>-2100</v>
      </c>
      <c r="I298" s="725">
        <f t="shared" si="87"/>
        <v>-2400</v>
      </c>
      <c r="J298" s="725">
        <f t="shared" si="87"/>
        <v>-565.25400000000081</v>
      </c>
      <c r="K298" s="17">
        <v>19</v>
      </c>
      <c r="L298" s="170"/>
      <c r="M298" s="170"/>
      <c r="N298" s="170"/>
      <c r="O298" s="170"/>
      <c r="P298" s="170"/>
    </row>
    <row r="299" spans="1:16">
      <c r="A299" s="758" t="s">
        <v>891</v>
      </c>
      <c r="B299" s="282"/>
      <c r="C299" s="710">
        <f>B118-C118</f>
        <v>522.70000000000005</v>
      </c>
      <c r="D299" s="725">
        <f t="shared" ref="D299:J299" si="88">C118-D118</f>
        <v>54.100000000000009</v>
      </c>
      <c r="E299" s="725">
        <f t="shared" si="88"/>
        <v>-2.4390000000000072</v>
      </c>
      <c r="F299" s="725">
        <f t="shared" si="88"/>
        <v>-2.5121699999999976</v>
      </c>
      <c r="G299" s="725">
        <f t="shared" si="88"/>
        <v>-2.5875350999999966</v>
      </c>
      <c r="H299" s="725">
        <f t="shared" si="88"/>
        <v>-2.6651611529999997</v>
      </c>
      <c r="I299" s="725">
        <f t="shared" si="88"/>
        <v>-2.7451159875899975</v>
      </c>
      <c r="J299" s="725">
        <f t="shared" si="88"/>
        <v>-2.8274694672176963</v>
      </c>
      <c r="K299" s="17">
        <v>20</v>
      </c>
      <c r="L299" s="170"/>
      <c r="M299" s="170"/>
      <c r="N299" s="170"/>
      <c r="O299" s="268"/>
      <c r="P299" s="268"/>
    </row>
    <row r="300" spans="1:16">
      <c r="A300" s="758" t="s">
        <v>892</v>
      </c>
      <c r="B300" s="282"/>
      <c r="C300" s="710">
        <f>(B142-C142)+(B145-C145)</f>
        <v>-278.49999999999994</v>
      </c>
      <c r="D300" s="710">
        <f t="shared" ref="D300:J300" si="89">(C142-D142)+(C145-D145)</f>
        <v>168.79999999999995</v>
      </c>
      <c r="E300" s="710">
        <f t="shared" si="89"/>
        <v>-26.975000000000023</v>
      </c>
      <c r="F300" s="710">
        <f t="shared" si="89"/>
        <v>-28.136250000000018</v>
      </c>
      <c r="G300" s="710">
        <f t="shared" si="89"/>
        <v>-29.34993750000001</v>
      </c>
      <c r="H300" s="710">
        <f t="shared" si="89"/>
        <v>-30.618515625000043</v>
      </c>
      <c r="I300" s="710">
        <f t="shared" si="89"/>
        <v>-31.944555093750012</v>
      </c>
      <c r="J300" s="710">
        <f t="shared" si="89"/>
        <v>-24.345727746562488</v>
      </c>
      <c r="K300" s="17">
        <v>21</v>
      </c>
      <c r="L300" s="170"/>
      <c r="M300" s="170"/>
      <c r="N300" s="170"/>
      <c r="O300" s="170"/>
      <c r="P300" s="170"/>
    </row>
    <row r="301" spans="1:16">
      <c r="A301" s="758" t="s">
        <v>647</v>
      </c>
      <c r="B301" s="282"/>
      <c r="C301" s="725">
        <f>B160-C160-C282</f>
        <v>1.3000000000000114</v>
      </c>
      <c r="D301" s="725">
        <f t="shared" ref="D301:J301" si="90">C160-D160-D282</f>
        <v>-246.89999999999998</v>
      </c>
      <c r="E301" s="725">
        <f t="shared" si="90"/>
        <v>-26.019999999999982</v>
      </c>
      <c r="F301" s="725">
        <f t="shared" si="90"/>
        <v>-27.321000000000026</v>
      </c>
      <c r="G301" s="725">
        <f t="shared" si="90"/>
        <v>-28.687049999999999</v>
      </c>
      <c r="H301" s="725">
        <f t="shared" si="90"/>
        <v>-30.121402500000045</v>
      </c>
      <c r="I301" s="725">
        <f t="shared" si="90"/>
        <v>-31.627472624999996</v>
      </c>
      <c r="J301" s="725">
        <f t="shared" si="90"/>
        <v>-19.925307753749962</v>
      </c>
      <c r="K301" s="17">
        <v>22</v>
      </c>
      <c r="L301" s="170"/>
      <c r="M301" s="170"/>
      <c r="N301" s="170"/>
      <c r="O301" s="265"/>
      <c r="P301" s="265"/>
    </row>
    <row r="302" spans="1:16">
      <c r="A302" s="499" t="s">
        <v>648</v>
      </c>
      <c r="B302" s="282"/>
      <c r="C302" s="725">
        <f>B163-C163</f>
        <v>6.6999999999999318</v>
      </c>
      <c r="D302" s="725">
        <f t="shared" ref="D302:J302" si="91">C163-D163</f>
        <v>-719.2</v>
      </c>
      <c r="E302" s="725">
        <f t="shared" si="91"/>
        <v>-78.769999999999982</v>
      </c>
      <c r="F302" s="725">
        <f t="shared" si="91"/>
        <v>-82.708500000000186</v>
      </c>
      <c r="G302" s="725">
        <f t="shared" si="91"/>
        <v>-86.843925000000127</v>
      </c>
      <c r="H302" s="725">
        <f t="shared" si="91"/>
        <v>-91.186121250000042</v>
      </c>
      <c r="I302" s="725">
        <f t="shared" si="91"/>
        <v>-95.745427312500169</v>
      </c>
      <c r="J302" s="725">
        <f t="shared" si="91"/>
        <v>-60.319619206874904</v>
      </c>
      <c r="K302" s="17">
        <v>23</v>
      </c>
      <c r="L302" s="170"/>
      <c r="M302" s="170"/>
      <c r="N302" s="170"/>
      <c r="O302" s="268"/>
      <c r="P302" s="268"/>
    </row>
    <row r="303" spans="1:16">
      <c r="A303" s="758" t="s">
        <v>893</v>
      </c>
      <c r="B303" s="282"/>
      <c r="C303" s="725">
        <f>B157-C157</f>
        <v>-13.599999999999994</v>
      </c>
      <c r="D303" s="725">
        <f t="shared" ref="D303:J303" si="92">C157-D157</f>
        <v>-216.99999999999997</v>
      </c>
      <c r="E303" s="725">
        <f t="shared" si="92"/>
        <v>-20.795000000000016</v>
      </c>
      <c r="F303" s="725">
        <f t="shared" si="92"/>
        <v>-21.834750000000042</v>
      </c>
      <c r="G303" s="725">
        <f t="shared" si="92"/>
        <v>-22.926487500000007</v>
      </c>
      <c r="H303" s="725">
        <f t="shared" si="92"/>
        <v>-24.072811875000014</v>
      </c>
      <c r="I303" s="725">
        <f t="shared" si="92"/>
        <v>-25.276452468750051</v>
      </c>
      <c r="J303" s="725">
        <f t="shared" si="92"/>
        <v>-15.924165055312528</v>
      </c>
      <c r="K303" s="17">
        <v>24</v>
      </c>
      <c r="L303" s="170"/>
      <c r="M303" s="170"/>
      <c r="N303" s="170"/>
      <c r="O303" s="268"/>
      <c r="P303" s="268"/>
    </row>
    <row r="304" spans="1:16">
      <c r="A304" s="499" t="s">
        <v>649</v>
      </c>
      <c r="B304" s="282"/>
      <c r="C304" s="725">
        <v>0</v>
      </c>
      <c r="D304" s="725">
        <v>0</v>
      </c>
      <c r="E304" s="725">
        <v>0</v>
      </c>
      <c r="F304" s="725">
        <v>0</v>
      </c>
      <c r="G304" s="725">
        <v>0</v>
      </c>
      <c r="H304" s="725">
        <v>0</v>
      </c>
      <c r="I304" s="725">
        <v>0</v>
      </c>
      <c r="J304" s="725">
        <v>0</v>
      </c>
      <c r="K304" s="17">
        <v>25</v>
      </c>
      <c r="L304" s="170"/>
      <c r="M304" s="170"/>
      <c r="N304" s="170"/>
      <c r="O304" s="268"/>
      <c r="P304" s="268"/>
    </row>
    <row r="305" spans="1:16">
      <c r="A305" s="213" t="s">
        <v>525</v>
      </c>
      <c r="B305" s="282"/>
      <c r="C305" s="726">
        <f>SUM(C298:C304)</f>
        <v>-560.40000000000009</v>
      </c>
      <c r="D305" s="726">
        <f t="shared" ref="D305:J305" si="93">SUM(D298:D304)</f>
        <v>-2020.899999999999</v>
      </c>
      <c r="E305" s="726">
        <f t="shared" si="93"/>
        <v>-1554.9990000000003</v>
      </c>
      <c r="F305" s="726">
        <f t="shared" si="93"/>
        <v>-1662.5126700000001</v>
      </c>
      <c r="G305" s="726">
        <f t="shared" si="93"/>
        <v>-1970.3949351000001</v>
      </c>
      <c r="H305" s="726">
        <f t="shared" si="93"/>
        <v>-2278.6640124029996</v>
      </c>
      <c r="I305" s="726">
        <f t="shared" si="93"/>
        <v>-2587.3390234875897</v>
      </c>
      <c r="J305" s="726">
        <f t="shared" si="93"/>
        <v>-688.59628922971842</v>
      </c>
      <c r="K305" s="17">
        <v>26</v>
      </c>
      <c r="L305" s="170"/>
      <c r="M305" s="170"/>
      <c r="N305" s="170"/>
      <c r="O305" s="170"/>
      <c r="P305" s="170"/>
    </row>
    <row r="306" spans="1:16">
      <c r="A306" s="499" t="s">
        <v>650</v>
      </c>
      <c r="B306" s="282"/>
      <c r="C306" s="725">
        <f>C177+C180-B177-B180</f>
        <v>0</v>
      </c>
      <c r="D306" s="725">
        <f t="shared" ref="D306:J306" si="94">D177+D180-C177-C180</f>
        <v>0</v>
      </c>
      <c r="E306" s="725">
        <f t="shared" si="94"/>
        <v>400</v>
      </c>
      <c r="F306" s="725">
        <f t="shared" si="94"/>
        <v>-400</v>
      </c>
      <c r="G306" s="725">
        <f t="shared" si="94"/>
        <v>350</v>
      </c>
      <c r="H306" s="725">
        <f t="shared" si="94"/>
        <v>-350</v>
      </c>
      <c r="I306" s="725">
        <f t="shared" si="94"/>
        <v>0</v>
      </c>
      <c r="J306" s="725">
        <f t="shared" si="94"/>
        <v>0</v>
      </c>
      <c r="K306" s="17">
        <v>27</v>
      </c>
      <c r="L306" s="170"/>
      <c r="M306" s="170"/>
      <c r="N306" s="170"/>
      <c r="O306" s="170"/>
      <c r="P306" s="170"/>
    </row>
    <row r="307" spans="1:16">
      <c r="A307" s="499" t="s">
        <v>651</v>
      </c>
      <c r="B307" s="282"/>
      <c r="C307" s="725">
        <f>C198-B198</f>
        <v>748.90000000000009</v>
      </c>
      <c r="D307" s="725">
        <f t="shared" ref="D307:J307" si="95">D198-C198</f>
        <v>299.19999999999982</v>
      </c>
      <c r="E307" s="725">
        <f t="shared" si="95"/>
        <v>600</v>
      </c>
      <c r="F307" s="725">
        <f t="shared" si="95"/>
        <v>400</v>
      </c>
      <c r="G307" s="725">
        <f t="shared" si="95"/>
        <v>-350</v>
      </c>
      <c r="H307" s="725">
        <f t="shared" si="95"/>
        <v>350</v>
      </c>
      <c r="I307" s="725">
        <f t="shared" si="95"/>
        <v>0</v>
      </c>
      <c r="J307" s="725">
        <f t="shared" si="95"/>
        <v>100.42500000000018</v>
      </c>
      <c r="K307" s="17">
        <v>28</v>
      </c>
      <c r="L307" s="170"/>
      <c r="M307" s="170"/>
      <c r="N307" s="170"/>
      <c r="O307" s="268"/>
      <c r="P307" s="268"/>
    </row>
    <row r="308" spans="1:16">
      <c r="A308" s="499" t="s">
        <v>725</v>
      </c>
      <c r="B308" s="282"/>
      <c r="C308" s="725">
        <f>C218-B218</f>
        <v>0</v>
      </c>
      <c r="D308" s="725">
        <f t="shared" ref="D308:J308" si="96">D218-C218</f>
        <v>0</v>
      </c>
      <c r="E308" s="725">
        <f t="shared" si="96"/>
        <v>0</v>
      </c>
      <c r="F308" s="725">
        <f t="shared" si="96"/>
        <v>0</v>
      </c>
      <c r="G308" s="725">
        <f t="shared" si="96"/>
        <v>0</v>
      </c>
      <c r="H308" s="725">
        <f t="shared" si="96"/>
        <v>0</v>
      </c>
      <c r="I308" s="725">
        <f t="shared" si="96"/>
        <v>0</v>
      </c>
      <c r="J308" s="725">
        <f t="shared" si="96"/>
        <v>0</v>
      </c>
      <c r="K308" s="17">
        <v>29</v>
      </c>
      <c r="L308" s="170"/>
      <c r="M308" s="170"/>
      <c r="N308" s="170"/>
      <c r="O308" s="268"/>
      <c r="P308" s="268"/>
    </row>
    <row r="309" spans="1:16">
      <c r="A309" s="499" t="s">
        <v>652</v>
      </c>
      <c r="B309" s="282"/>
      <c r="C309" s="725">
        <f>C222-B222</f>
        <v>-242.79999999999998</v>
      </c>
      <c r="D309" s="725">
        <f t="shared" ref="D309:J309" si="97">D222-C222</f>
        <v>2.5</v>
      </c>
      <c r="E309" s="725">
        <f t="shared" si="97"/>
        <v>1.3104867009893297</v>
      </c>
      <c r="F309" s="725">
        <f t="shared" si="97"/>
        <v>2.4337548019113129</v>
      </c>
      <c r="G309" s="725">
        <f t="shared" si="97"/>
        <v>3.2699926650210358</v>
      </c>
      <c r="H309" s="725">
        <f t="shared" si="97"/>
        <v>3.7719981810755101</v>
      </c>
      <c r="I309" s="725">
        <f t="shared" si="97"/>
        <v>6.689873324126637</v>
      </c>
      <c r="J309" s="725">
        <f t="shared" si="97"/>
        <v>1.8022831701937179</v>
      </c>
      <c r="K309" s="17">
        <v>30</v>
      </c>
      <c r="L309" s="170"/>
      <c r="M309" s="170"/>
      <c r="N309" s="170"/>
      <c r="O309" s="170"/>
      <c r="P309" s="170"/>
    </row>
    <row r="310" spans="1:16">
      <c r="A310" s="499" t="s">
        <v>720</v>
      </c>
      <c r="B310" s="282"/>
      <c r="C310" s="725">
        <f>C228-B228</f>
        <v>-41.7</v>
      </c>
      <c r="D310" s="725">
        <f t="shared" ref="D310:J310" si="98">D228-C228</f>
        <v>-224.70000000000002</v>
      </c>
      <c r="E310" s="725">
        <f t="shared" si="98"/>
        <v>0</v>
      </c>
      <c r="F310" s="725">
        <f t="shared" si="98"/>
        <v>0</v>
      </c>
      <c r="G310" s="725">
        <f t="shared" si="98"/>
        <v>0</v>
      </c>
      <c r="H310" s="725">
        <f t="shared" si="98"/>
        <v>0</v>
      </c>
      <c r="I310" s="725">
        <f t="shared" si="98"/>
        <v>0</v>
      </c>
      <c r="J310" s="725">
        <f t="shared" si="98"/>
        <v>0</v>
      </c>
      <c r="K310" s="17">
        <v>31</v>
      </c>
      <c r="L310" s="170"/>
      <c r="M310" s="170"/>
      <c r="N310" s="170"/>
      <c r="O310" s="170"/>
      <c r="P310" s="170"/>
    </row>
    <row r="311" spans="1:16">
      <c r="A311" s="499" t="s">
        <v>721</v>
      </c>
      <c r="B311" s="282"/>
      <c r="C311" s="725">
        <f>C231-B231</f>
        <v>0</v>
      </c>
      <c r="D311" s="725">
        <f t="shared" ref="D311:J311" si="99">D231-C231</f>
        <v>0</v>
      </c>
      <c r="E311" s="725">
        <f t="shared" si="99"/>
        <v>0</v>
      </c>
      <c r="F311" s="725">
        <f t="shared" si="99"/>
        <v>0</v>
      </c>
      <c r="G311" s="725">
        <f t="shared" si="99"/>
        <v>0</v>
      </c>
      <c r="H311" s="725">
        <f t="shared" si="99"/>
        <v>0</v>
      </c>
      <c r="I311" s="725">
        <f t="shared" si="99"/>
        <v>0</v>
      </c>
      <c r="J311" s="725">
        <f t="shared" si="99"/>
        <v>0</v>
      </c>
      <c r="K311" s="17">
        <v>32</v>
      </c>
      <c r="L311" s="170"/>
      <c r="M311" s="170"/>
      <c r="N311" s="170"/>
      <c r="O311" s="268"/>
      <c r="P311" s="268"/>
    </row>
    <row r="312" spans="1:16">
      <c r="A312" s="758" t="s">
        <v>888</v>
      </c>
      <c r="B312" s="282"/>
      <c r="C312" s="725">
        <f>C225-B225-C90</f>
        <v>-991.80000000000018</v>
      </c>
      <c r="D312" s="725">
        <f t="shared" ref="D312:J312" si="100">D225-C225-D90</f>
        <v>-1989.2000000000012</v>
      </c>
      <c r="E312" s="725">
        <f t="shared" si="100"/>
        <v>-3841.2531401728374</v>
      </c>
      <c r="F312" s="725">
        <f t="shared" si="100"/>
        <v>-2792.7924820796652</v>
      </c>
      <c r="G312" s="725">
        <f t="shared" si="100"/>
        <v>-3081.4584121474554</v>
      </c>
      <c r="H312" s="725">
        <f t="shared" si="100"/>
        <v>-3432.0039978624222</v>
      </c>
      <c r="I312" s="725">
        <f t="shared" si="100"/>
        <v>-3590.2694239978391</v>
      </c>
      <c r="J312" s="725">
        <f t="shared" si="100"/>
        <v>-4824.7149684554952</v>
      </c>
      <c r="K312" s="17">
        <v>33</v>
      </c>
      <c r="L312" s="170"/>
      <c r="M312" s="170"/>
      <c r="N312" s="170"/>
      <c r="O312" s="170"/>
      <c r="P312" s="170"/>
    </row>
    <row r="313" spans="1:16">
      <c r="A313" s="499" t="s">
        <v>722</v>
      </c>
      <c r="B313" s="282"/>
      <c r="C313" s="725">
        <f>C237-B237+C87</f>
        <v>0</v>
      </c>
      <c r="D313" s="725">
        <f t="shared" ref="D313:J313" si="101">D237-C237+D87</f>
        <v>-1.7999999999999998</v>
      </c>
      <c r="E313" s="725">
        <f t="shared" si="101"/>
        <v>-1.8</v>
      </c>
      <c r="F313" s="725">
        <f t="shared" si="101"/>
        <v>0</v>
      </c>
      <c r="G313" s="725">
        <f t="shared" si="101"/>
        <v>0</v>
      </c>
      <c r="H313" s="725">
        <f t="shared" si="101"/>
        <v>0</v>
      </c>
      <c r="I313" s="725">
        <f t="shared" si="101"/>
        <v>0</v>
      </c>
      <c r="J313" s="725">
        <f t="shared" si="101"/>
        <v>0</v>
      </c>
      <c r="L313" s="170"/>
      <c r="M313" s="170"/>
      <c r="N313" s="170"/>
      <c r="O313" s="170"/>
      <c r="P313" s="170"/>
    </row>
    <row r="314" spans="1:16">
      <c r="A314" s="213" t="s">
        <v>526</v>
      </c>
      <c r="B314" s="282"/>
      <c r="C314" s="726">
        <f>SUM(C306:C313)</f>
        <v>-527.40000000000009</v>
      </c>
      <c r="D314" s="726">
        <f t="shared" ref="D314:J314" si="102">SUM(D306:D313)</f>
        <v>-1914.0000000000014</v>
      </c>
      <c r="E314" s="726">
        <f t="shared" si="102"/>
        <v>-2841.7426534718484</v>
      </c>
      <c r="F314" s="726">
        <f t="shared" si="102"/>
        <v>-2790.358727277754</v>
      </c>
      <c r="G314" s="726">
        <f t="shared" si="102"/>
        <v>-3078.1884194824343</v>
      </c>
      <c r="H314" s="726">
        <f t="shared" si="102"/>
        <v>-3428.2319996813467</v>
      </c>
      <c r="I314" s="726">
        <f t="shared" si="102"/>
        <v>-3583.5795506737127</v>
      </c>
      <c r="J314" s="726">
        <f t="shared" si="102"/>
        <v>-4722.4876852853013</v>
      </c>
      <c r="K314" s="17">
        <v>34</v>
      </c>
      <c r="L314" s="170"/>
      <c r="M314" s="170"/>
      <c r="N314" s="170"/>
      <c r="O314" s="265"/>
      <c r="P314" s="265"/>
    </row>
    <row r="315" spans="1:16" ht="13.5" thickBot="1">
      <c r="A315" s="213" t="s">
        <v>367</v>
      </c>
      <c r="B315" s="282"/>
      <c r="C315" s="720">
        <f>C297+C305+C314</f>
        <v>-867.3</v>
      </c>
      <c r="D315" s="720">
        <f>D297+D305+D314</f>
        <v>-178.37000000000012</v>
      </c>
      <c r="E315" s="720">
        <f t="shared" ref="E315:J315" si="103">E297+E305+E314</f>
        <v>251.75189866725577</v>
      </c>
      <c r="F315" s="720">
        <f t="shared" si="103"/>
        <v>163.73930910346189</v>
      </c>
      <c r="G315" s="720">
        <f t="shared" si="103"/>
        <v>215.64317862416374</v>
      </c>
      <c r="H315" s="720">
        <f t="shared" si="103"/>
        <v>235.49543486241009</v>
      </c>
      <c r="I315" s="720">
        <f t="shared" si="103"/>
        <v>257.0436790438639</v>
      </c>
      <c r="J315" s="720">
        <f t="shared" si="103"/>
        <v>79.611105009041239</v>
      </c>
      <c r="K315" s="17">
        <v>35</v>
      </c>
      <c r="L315" s="170"/>
      <c r="M315" s="170"/>
      <c r="N315" s="170"/>
      <c r="O315" s="268"/>
      <c r="P315" s="268"/>
    </row>
    <row r="316" spans="1:16" ht="13.5" thickTop="1">
      <c r="A316" s="257" t="s">
        <v>11</v>
      </c>
      <c r="B316" s="214"/>
      <c r="C316" s="283"/>
      <c r="D316" s="283"/>
      <c r="E316" s="251"/>
      <c r="F316" s="251"/>
      <c r="G316" s="251"/>
      <c r="H316" s="251"/>
      <c r="I316" s="251"/>
      <c r="J316" s="251"/>
      <c r="K316" s="244"/>
      <c r="L316" s="244"/>
      <c r="M316" s="244"/>
      <c r="N316" s="244"/>
      <c r="O316" s="268"/>
      <c r="P316" s="268"/>
    </row>
    <row r="317" spans="1:16">
      <c r="A317" s="257" t="s">
        <v>12</v>
      </c>
      <c r="B317" s="258"/>
      <c r="C317" s="655">
        <f>C315-(C115-B115)</f>
        <v>0</v>
      </c>
      <c r="D317" s="655">
        <f t="shared" ref="D317:J317" si="104">D315-(D115-C115)</f>
        <v>-6.9999999999936335E-2</v>
      </c>
      <c r="E317" s="655">
        <f t="shared" si="104"/>
        <v>6.9999999997662599E-2</v>
      </c>
      <c r="F317" s="655">
        <f t="shared" si="104"/>
        <v>1.8189894035458565E-12</v>
      </c>
      <c r="G317" s="655">
        <f t="shared" si="104"/>
        <v>-1.1368683772161603E-12</v>
      </c>
      <c r="H317" s="655">
        <f t="shared" si="104"/>
        <v>1.8189894035458565E-12</v>
      </c>
      <c r="I317" s="655">
        <f t="shared" si="104"/>
        <v>-9.0949470177292824E-13</v>
      </c>
      <c r="J317" s="655">
        <f t="shared" si="104"/>
        <v>6.3664629124104977E-12</v>
      </c>
      <c r="K317" s="284"/>
      <c r="L317" s="285" t="s">
        <v>178</v>
      </c>
      <c r="M317" s="284"/>
      <c r="N317" s="284"/>
      <c r="O317" s="268"/>
      <c r="P317" s="268"/>
    </row>
    <row r="318" spans="1:16">
      <c r="A318" s="257"/>
      <c r="B318" s="170"/>
      <c r="C318" s="170"/>
      <c r="D318" s="170"/>
      <c r="E318" s="170"/>
      <c r="F318" s="170"/>
      <c r="G318" s="170"/>
      <c r="H318" s="170"/>
      <c r="I318" s="170"/>
      <c r="J318" s="170"/>
      <c r="K318" s="284"/>
      <c r="L318" s="284"/>
      <c r="M318" s="284"/>
      <c r="N318" s="284"/>
      <c r="O318" s="170"/>
      <c r="P318" s="170"/>
    </row>
    <row r="319" spans="1:16">
      <c r="A319" s="202"/>
      <c r="B319" s="170"/>
      <c r="C319" s="170"/>
      <c r="D319" s="170"/>
      <c r="E319" s="170"/>
      <c r="F319" s="170"/>
      <c r="G319" s="170"/>
      <c r="H319" s="170"/>
      <c r="I319" s="170"/>
      <c r="J319" s="170"/>
      <c r="K319" s="170"/>
      <c r="L319" s="170"/>
      <c r="M319" s="170"/>
      <c r="N319" s="170"/>
      <c r="O319" s="170"/>
      <c r="P319" s="170"/>
    </row>
    <row r="320" spans="1:16">
      <c r="A320" s="180" t="s">
        <v>469</v>
      </c>
      <c r="B320" s="181" t="s">
        <v>27</v>
      </c>
      <c r="C320" s="182"/>
      <c r="D320" s="182"/>
      <c r="E320" s="183"/>
      <c r="F320" s="184"/>
      <c r="G320" s="184"/>
      <c r="H320" s="184"/>
      <c r="I320" s="184"/>
      <c r="J320" s="185"/>
      <c r="K320" s="170"/>
      <c r="L320" s="170"/>
      <c r="M320" s="170"/>
      <c r="N320" s="170"/>
      <c r="O320" s="268"/>
      <c r="P320" s="268"/>
    </row>
    <row r="321" spans="1:16">
      <c r="A321" s="186" t="str">
        <f>Data!A9</f>
        <v>Analyst Name:</v>
      </c>
      <c r="B321" s="275" t="str">
        <f>Data!B9</f>
        <v>Wahlen, Baginski &amp; Bradshaw</v>
      </c>
      <c r="C321" s="182"/>
      <c r="D321" s="182"/>
      <c r="E321" s="183"/>
      <c r="F321" s="184"/>
      <c r="G321" s="184"/>
      <c r="H321" s="184"/>
      <c r="I321" s="184"/>
      <c r="J321" s="185"/>
      <c r="K321" s="170"/>
      <c r="L321" s="170"/>
      <c r="M321" s="170"/>
      <c r="N321" s="170"/>
      <c r="O321" s="268"/>
      <c r="P321" s="268"/>
    </row>
    <row r="322" spans="1:16">
      <c r="A322" s="186" t="str">
        <f>Data!A10</f>
        <v>Company Name:</v>
      </c>
      <c r="B322" s="276" t="str">
        <f>Data!B10</f>
        <v>Starbucks</v>
      </c>
      <c r="C322" s="277"/>
      <c r="D322" s="277"/>
      <c r="E322" s="278"/>
      <c r="F322" s="178"/>
      <c r="G322" s="178"/>
      <c r="H322" s="178"/>
      <c r="I322" s="178"/>
      <c r="J322" s="234"/>
      <c r="K322" s="170"/>
      <c r="L322" s="170"/>
      <c r="M322" s="170"/>
      <c r="N322" s="170"/>
      <c r="O322" s="170"/>
      <c r="P322" s="170"/>
    </row>
    <row r="323" spans="1:16" ht="13.5" thickBot="1">
      <c r="A323" s="202"/>
      <c r="B323" s="280"/>
      <c r="C323" s="280"/>
      <c r="D323" s="280"/>
      <c r="E323" s="286"/>
      <c r="F323" s="286"/>
      <c r="G323" s="286"/>
      <c r="H323" s="286"/>
      <c r="I323" s="286"/>
      <c r="J323" s="286"/>
      <c r="K323" s="170"/>
      <c r="L323" s="170"/>
      <c r="M323" s="170"/>
      <c r="N323" s="170"/>
      <c r="O323" s="170"/>
      <c r="P323" s="170"/>
    </row>
    <row r="324" spans="1:16" ht="13.5" thickTop="1">
      <c r="A324" s="202"/>
      <c r="B324" s="206" t="s">
        <v>477</v>
      </c>
      <c r="C324" s="207"/>
      <c r="D324" s="207"/>
      <c r="E324" s="239" t="s">
        <v>478</v>
      </c>
      <c r="F324" s="240"/>
      <c r="G324" s="240"/>
      <c r="H324" s="240"/>
      <c r="I324" s="240"/>
      <c r="J324" s="239"/>
      <c r="K324" s="170"/>
      <c r="L324" s="170"/>
      <c r="M324" s="170"/>
      <c r="N324" s="170"/>
      <c r="O324" s="268"/>
      <c r="P324" s="268"/>
    </row>
    <row r="325" spans="1:16">
      <c r="A325" s="202"/>
      <c r="B325" s="211">
        <f>Data!E11</f>
        <v>2013</v>
      </c>
      <c r="C325" s="211">
        <f>Data!F11</f>
        <v>2014</v>
      </c>
      <c r="D325" s="211">
        <f>Data!G11</f>
        <v>2015</v>
      </c>
      <c r="E325" s="212" t="str">
        <f t="shared" ref="E325:J325" si="105">E$19</f>
        <v>Year +1</v>
      </c>
      <c r="F325" s="212" t="str">
        <f t="shared" si="105"/>
        <v>Year +2</v>
      </c>
      <c r="G325" s="212" t="str">
        <f t="shared" si="105"/>
        <v>Year +3</v>
      </c>
      <c r="H325" s="212" t="str">
        <f t="shared" si="105"/>
        <v>Year +4</v>
      </c>
      <c r="I325" s="212" t="str">
        <f t="shared" si="105"/>
        <v>Year +5</v>
      </c>
      <c r="J325" s="212" t="str">
        <f t="shared" si="105"/>
        <v>Year +6</v>
      </c>
      <c r="K325" s="287"/>
      <c r="L325" s="287"/>
      <c r="M325" s="287"/>
      <c r="N325" s="287"/>
      <c r="O325" s="170"/>
      <c r="P325" s="170"/>
    </row>
    <row r="326" spans="1:16">
      <c r="A326" s="288" t="s">
        <v>13</v>
      </c>
      <c r="B326" s="214"/>
      <c r="C326" s="214"/>
      <c r="D326" s="214"/>
      <c r="E326" s="50"/>
      <c r="F326" s="50"/>
      <c r="G326" s="50"/>
      <c r="H326" s="50"/>
      <c r="I326" s="50"/>
      <c r="J326" s="52"/>
      <c r="K326" s="50"/>
      <c r="L326" s="99" t="s">
        <v>7</v>
      </c>
      <c r="M326" s="50"/>
      <c r="N326" s="50"/>
      <c r="O326" s="265"/>
      <c r="P326" s="265"/>
    </row>
    <row r="327" spans="1:16">
      <c r="A327" s="210" t="s">
        <v>455</v>
      </c>
      <c r="B327" s="214"/>
      <c r="C327" s="214"/>
      <c r="D327" s="214"/>
      <c r="E327" s="50"/>
      <c r="F327" s="50"/>
      <c r="G327" s="50"/>
      <c r="H327" s="50"/>
      <c r="I327" s="50"/>
      <c r="J327" s="52"/>
      <c r="K327" s="50"/>
      <c r="L327" s="50" t="s">
        <v>8</v>
      </c>
      <c r="M327" s="50"/>
      <c r="N327" s="50"/>
      <c r="O327" s="268"/>
      <c r="P327" s="268"/>
    </row>
    <row r="328" spans="1:16">
      <c r="A328" s="222" t="s">
        <v>28</v>
      </c>
      <c r="B328" s="289">
        <f>Analysis!D165</f>
        <v>0.11784653558404456</v>
      </c>
      <c r="C328" s="289">
        <f>Analysis!E165</f>
        <v>0.10634433771894414</v>
      </c>
      <c r="D328" s="289">
        <f>Analysis!F165</f>
        <v>0.16506158878391042</v>
      </c>
      <c r="E328" s="290">
        <f t="shared" ref="E328:J328" si="106">E21/D21-1</f>
        <v>0.13127828718212831</v>
      </c>
      <c r="F328" s="290">
        <f t="shared" si="106"/>
        <v>9.1896381496486379E-2</v>
      </c>
      <c r="G328" s="290">
        <f t="shared" si="106"/>
        <v>0.11084082649053228</v>
      </c>
      <c r="H328" s="290">
        <f t="shared" si="106"/>
        <v>0.10896692373098316</v>
      </c>
      <c r="I328" s="290">
        <f t="shared" si="106"/>
        <v>0.10725079828351225</v>
      </c>
      <c r="J328" s="290">
        <f t="shared" si="106"/>
        <v>3.0000000000000027E-2</v>
      </c>
      <c r="K328" s="265"/>
      <c r="L328" s="265"/>
      <c r="M328" s="265"/>
      <c r="N328" s="265"/>
      <c r="O328" s="268"/>
      <c r="P328" s="268"/>
    </row>
    <row r="329" spans="1:16">
      <c r="A329" s="222" t="s">
        <v>14</v>
      </c>
      <c r="B329" s="289">
        <f>Analysis!D186</f>
        <v>-0.99364483281577276</v>
      </c>
      <c r="C329" s="289">
        <f>Analysis!E186</f>
        <v>233.96590909092399</v>
      </c>
      <c r="D329" s="289">
        <f>Analysis!F186</f>
        <v>0.33447792232915829</v>
      </c>
      <c r="E329" s="290">
        <f t="shared" ref="E329:J329" si="107">E84/D84-1</f>
        <v>1.268549665297769E-2</v>
      </c>
      <c r="F329" s="290">
        <f t="shared" si="107"/>
        <v>0.10244780213029681</v>
      </c>
      <c r="G329" s="290">
        <f t="shared" si="107"/>
        <v>0.13289628337865111</v>
      </c>
      <c r="H329" s="290">
        <f t="shared" si="107"/>
        <v>0.12888174053932233</v>
      </c>
      <c r="I329" s="290">
        <f t="shared" si="107"/>
        <v>0.24245579585349719</v>
      </c>
      <c r="J329" s="290">
        <f t="shared" si="107"/>
        <v>2.999999999999825E-2</v>
      </c>
      <c r="K329" s="265"/>
      <c r="L329" s="265"/>
      <c r="M329" s="265"/>
      <c r="N329" s="265"/>
      <c r="O329" s="268"/>
      <c r="P329" s="268"/>
    </row>
    <row r="330" spans="1:16">
      <c r="A330" s="222" t="s">
        <v>15</v>
      </c>
      <c r="B330" s="289">
        <f>Analysis!D268</f>
        <v>0.40119476348063032</v>
      </c>
      <c r="C330" s="289">
        <f>Analysis!E268</f>
        <v>-6.6321081559821748E-2</v>
      </c>
      <c r="D330" s="289">
        <f>Analysis!F268</f>
        <v>0.15747100782114609</v>
      </c>
      <c r="E330" s="290">
        <f t="shared" ref="E330:J330" si="108">E166/D166-1</f>
        <v>3.076259861477304E-2</v>
      </c>
      <c r="F330" s="290">
        <f t="shared" si="108"/>
        <v>5.5425366120036124E-2</v>
      </c>
      <c r="G330" s="290">
        <f t="shared" si="108"/>
        <v>7.0558769740926008E-2</v>
      </c>
      <c r="H330" s="290">
        <f t="shared" si="108"/>
        <v>7.6026532392075241E-2</v>
      </c>
      <c r="I330" s="290">
        <f t="shared" si="108"/>
        <v>0.12531083445622282</v>
      </c>
      <c r="J330" s="290">
        <f t="shared" si="108"/>
        <v>3.0000000000000249E-2</v>
      </c>
      <c r="K330" s="265"/>
      <c r="L330" s="265"/>
      <c r="M330" s="265"/>
      <c r="N330" s="265"/>
      <c r="O330" s="170"/>
      <c r="P330" s="170"/>
    </row>
    <row r="331" spans="1:16">
      <c r="A331" s="222"/>
      <c r="B331" s="214"/>
      <c r="C331" s="214"/>
      <c r="D331" s="214"/>
      <c r="E331" s="291"/>
      <c r="F331" s="291"/>
      <c r="G331" s="291"/>
      <c r="H331" s="291"/>
      <c r="I331" s="291"/>
      <c r="J331" s="291"/>
      <c r="K331" s="170"/>
      <c r="L331" s="170"/>
      <c r="M331" s="170"/>
      <c r="N331" s="170"/>
      <c r="O331" s="170"/>
      <c r="P331" s="170"/>
    </row>
    <row r="332" spans="1:16">
      <c r="A332" s="292" t="s">
        <v>167</v>
      </c>
      <c r="B332" s="214"/>
      <c r="C332" s="214"/>
      <c r="D332" s="214"/>
      <c r="E332" s="97"/>
      <c r="F332" s="97"/>
      <c r="G332" s="97"/>
      <c r="H332" s="97"/>
      <c r="I332" s="97"/>
      <c r="J332" s="97"/>
      <c r="K332" s="99"/>
      <c r="L332" s="99"/>
      <c r="M332" s="99"/>
      <c r="N332" s="99"/>
      <c r="O332" s="268"/>
      <c r="P332" s="268"/>
    </row>
    <row r="333" spans="1:16">
      <c r="A333" s="222" t="s">
        <v>434</v>
      </c>
      <c r="B333" s="289">
        <f>Analysis!D24</f>
        <v>1.8204993677186378E-3</v>
      </c>
      <c r="C333" s="289">
        <f>Analysis!E24</f>
        <v>0.12824602682425615</v>
      </c>
      <c r="D333" s="289">
        <f>Analysis!F24</f>
        <v>0.14638464308265542</v>
      </c>
      <c r="E333" s="290">
        <f t="shared" ref="E333:J333" si="109">(E84+(1+(E75/E71))*-E62)/E21</f>
        <v>0.1312448702951097</v>
      </c>
      <c r="F333" s="290">
        <f t="shared" si="109"/>
        <v>0.13267033122167463</v>
      </c>
      <c r="G333" s="290">
        <f t="shared" si="109"/>
        <v>0.13500222018738312</v>
      </c>
      <c r="H333" s="290">
        <f t="shared" si="109"/>
        <v>0.13716227438944201</v>
      </c>
      <c r="I333" s="290">
        <f t="shared" si="109"/>
        <v>0.15346191474937373</v>
      </c>
      <c r="J333" s="290">
        <f t="shared" si="109"/>
        <v>0.15346191474937348</v>
      </c>
      <c r="K333" s="265"/>
      <c r="L333" s="265"/>
      <c r="M333" s="265"/>
      <c r="N333" s="265"/>
      <c r="O333" s="268"/>
      <c r="P333" s="268"/>
    </row>
    <row r="334" spans="1:16">
      <c r="A334" s="222" t="s">
        <v>435</v>
      </c>
      <c r="B334" s="293">
        <f>Analysis!D25</f>
        <v>1.5065743138139127</v>
      </c>
      <c r="C334" s="293">
        <f>Analysis!E25</f>
        <v>1.477152710421382</v>
      </c>
      <c r="D334" s="293">
        <f>Analysis!F25</f>
        <v>1.6520231198923063</v>
      </c>
      <c r="E334" s="294">
        <f t="shared" ref="E334:J334" si="110">E21/((E166+D166)/2)</f>
        <v>1.715383637274702</v>
      </c>
      <c r="F334" s="294">
        <f t="shared" si="110"/>
        <v>1.7953184022922759</v>
      </c>
      <c r="G334" s="294">
        <f t="shared" si="110"/>
        <v>1.8757715200034739</v>
      </c>
      <c r="H334" s="294">
        <f t="shared" si="110"/>
        <v>1.9379504974385642</v>
      </c>
      <c r="I334" s="294">
        <f t="shared" si="110"/>
        <v>1.9479425520552078</v>
      </c>
      <c r="J334" s="294">
        <f t="shared" si="110"/>
        <v>1.8666688807187775</v>
      </c>
      <c r="K334" s="268"/>
      <c r="L334" s="268"/>
      <c r="M334" s="268"/>
      <c r="N334" s="268"/>
      <c r="O334" s="170"/>
      <c r="P334" s="170"/>
    </row>
    <row r="335" spans="1:16">
      <c r="A335" s="295" t="s">
        <v>436</v>
      </c>
      <c r="B335" s="289">
        <f>Analysis!D26</f>
        <v>2.7427175857193688E-3</v>
      </c>
      <c r="C335" s="289">
        <f>Analysis!E26</f>
        <v>0.18943896612422323</v>
      </c>
      <c r="D335" s="289">
        <f>Analysis!F26</f>
        <v>0.24183081476973012</v>
      </c>
      <c r="E335" s="290">
        <f t="shared" ref="E335:J335" si="111">(E84+(1+(E75/E71))*-E62)/((E166+D166)/2)</f>
        <v>0.2251353029804718</v>
      </c>
      <c r="F335" s="290">
        <f t="shared" si="111"/>
        <v>0.23818548708048393</v>
      </c>
      <c r="G335" s="290">
        <f t="shared" si="111"/>
        <v>0.25323331976473129</v>
      </c>
      <c r="H335" s="290">
        <f t="shared" si="111"/>
        <v>0.26581369788282394</v>
      </c>
      <c r="I335" s="290">
        <f t="shared" si="111"/>
        <v>0.2989349938601738</v>
      </c>
      <c r="J335" s="290">
        <f t="shared" si="111"/>
        <v>0.28646258063817343</v>
      </c>
      <c r="K335" s="265"/>
      <c r="L335" s="265"/>
      <c r="M335" s="265"/>
      <c r="N335" s="265"/>
      <c r="O335" s="170"/>
      <c r="P335" s="170"/>
    </row>
    <row r="336" spans="1:16">
      <c r="A336" s="295"/>
      <c r="B336" s="289"/>
      <c r="C336" s="289"/>
      <c r="D336" s="289"/>
      <c r="E336" s="290"/>
      <c r="F336" s="290"/>
      <c r="G336" s="290"/>
      <c r="H336" s="290"/>
      <c r="I336" s="290"/>
      <c r="J336" s="290"/>
      <c r="K336" s="265"/>
      <c r="L336" s="265"/>
      <c r="M336" s="265"/>
      <c r="N336" s="265"/>
      <c r="O336" s="268"/>
      <c r="P336" s="268"/>
    </row>
    <row r="337" spans="1:16">
      <c r="A337" s="292" t="s">
        <v>168</v>
      </c>
      <c r="B337" s="214"/>
      <c r="C337" s="214"/>
      <c r="D337" s="214"/>
      <c r="E337" s="97"/>
      <c r="F337" s="97"/>
      <c r="G337" s="97"/>
      <c r="H337" s="97"/>
      <c r="I337" s="97"/>
      <c r="J337" s="97"/>
      <c r="K337" s="265"/>
      <c r="L337" s="265"/>
      <c r="M337" s="265"/>
      <c r="N337" s="265"/>
      <c r="O337" s="170"/>
      <c r="P337" s="170"/>
    </row>
    <row r="338" spans="1:16">
      <c r="A338" s="222" t="s">
        <v>434</v>
      </c>
      <c r="B338" s="289">
        <f>Analysis!D29</f>
        <v>0.12354575295288828</v>
      </c>
      <c r="C338" s="289">
        <f>Analysis!E29</f>
        <v>0.12744774377120346</v>
      </c>
      <c r="D338" s="289">
        <f>Analysis!F29</f>
        <v>0.13520798217370206</v>
      </c>
      <c r="E338" s="290">
        <f t="shared" ref="E338:J338" si="112">(E71-E62-E52-E68)*(1+(E75/E71))/E21</f>
        <v>0.1312448702951097</v>
      </c>
      <c r="F338" s="290">
        <f t="shared" si="112"/>
        <v>0.1326703312216746</v>
      </c>
      <c r="G338" s="290">
        <f t="shared" si="112"/>
        <v>0.13500222018738312</v>
      </c>
      <c r="H338" s="290">
        <f t="shared" si="112"/>
        <v>0.13716227438944201</v>
      </c>
      <c r="I338" s="290">
        <f t="shared" si="112"/>
        <v>0.15346191474937371</v>
      </c>
      <c r="J338" s="290">
        <f t="shared" si="112"/>
        <v>0.15346191474937348</v>
      </c>
      <c r="K338" s="265"/>
      <c r="L338" s="265"/>
      <c r="M338" s="265"/>
      <c r="N338" s="265"/>
      <c r="O338" s="265"/>
      <c r="P338" s="265"/>
    </row>
    <row r="339" spans="1:16">
      <c r="A339" s="222" t="s">
        <v>435</v>
      </c>
      <c r="B339" s="293">
        <f>Analysis!D30</f>
        <v>1.5065743138139127</v>
      </c>
      <c r="C339" s="293">
        <f>Analysis!E30</f>
        <v>1.477152710421382</v>
      </c>
      <c r="D339" s="293">
        <f>Analysis!F30</f>
        <v>1.6520231198923063</v>
      </c>
      <c r="E339" s="294">
        <f t="shared" ref="E339:J339" si="113">E21/((E166+D166)/2)</f>
        <v>1.715383637274702</v>
      </c>
      <c r="F339" s="294">
        <f t="shared" si="113"/>
        <v>1.7953184022922759</v>
      </c>
      <c r="G339" s="294">
        <f t="shared" si="113"/>
        <v>1.8757715200034739</v>
      </c>
      <c r="H339" s="294">
        <f t="shared" si="113"/>
        <v>1.9379504974385642</v>
      </c>
      <c r="I339" s="294">
        <f t="shared" si="113"/>
        <v>1.9479425520552078</v>
      </c>
      <c r="J339" s="294">
        <f t="shared" si="113"/>
        <v>1.8666688807187775</v>
      </c>
      <c r="K339" s="265"/>
      <c r="L339" s="265"/>
      <c r="M339" s="265"/>
      <c r="N339" s="265"/>
      <c r="O339" s="268"/>
      <c r="P339" s="268"/>
    </row>
    <row r="340" spans="1:16">
      <c r="A340" s="295" t="s">
        <v>436</v>
      </c>
      <c r="B340" s="289">
        <f>Analysis!D31</f>
        <v>0.18613085797962084</v>
      </c>
      <c r="C340" s="289">
        <f>Analysis!E31</f>
        <v>0.18825978014872297</v>
      </c>
      <c r="D340" s="289">
        <f>Analysis!F31</f>
        <v>0.22336671254494264</v>
      </c>
      <c r="E340" s="290">
        <f t="shared" ref="E340:J340" si="114">(E71-E62-E52-E68)*(1+(E75/E71))/((E166+D166)/2)</f>
        <v>0.22513530298047174</v>
      </c>
      <c r="F340" s="290">
        <f t="shared" si="114"/>
        <v>0.23818548708048384</v>
      </c>
      <c r="G340" s="290">
        <f t="shared" si="114"/>
        <v>0.25323331976473129</v>
      </c>
      <c r="H340" s="290">
        <f t="shared" si="114"/>
        <v>0.26581369788282394</v>
      </c>
      <c r="I340" s="290">
        <f t="shared" si="114"/>
        <v>0.29893499386017375</v>
      </c>
      <c r="J340" s="290">
        <f t="shared" si="114"/>
        <v>0.28646258063817343</v>
      </c>
      <c r="K340" s="265"/>
      <c r="L340" s="265"/>
      <c r="M340" s="265"/>
      <c r="N340" s="265"/>
      <c r="O340" s="268"/>
      <c r="P340" s="268"/>
    </row>
    <row r="341" spans="1:16">
      <c r="A341" s="295"/>
      <c r="B341" s="214"/>
      <c r="C341" s="214"/>
      <c r="D341" s="214"/>
      <c r="E341" s="97"/>
      <c r="F341" s="97"/>
      <c r="G341" s="97"/>
      <c r="H341" s="97"/>
      <c r="I341" s="97"/>
      <c r="J341" s="97"/>
      <c r="K341" s="99"/>
      <c r="L341" s="99"/>
      <c r="M341" s="99"/>
      <c r="N341" s="99"/>
      <c r="O341" s="268"/>
      <c r="P341" s="268"/>
    </row>
    <row r="342" spans="1:16">
      <c r="A342" s="292" t="s">
        <v>169</v>
      </c>
      <c r="B342" s="214"/>
      <c r="C342" s="214"/>
      <c r="D342" s="214"/>
      <c r="E342" s="97"/>
      <c r="F342" s="97"/>
      <c r="G342" s="97"/>
      <c r="H342" s="97"/>
      <c r="I342" s="97"/>
      <c r="J342" s="97"/>
      <c r="K342" s="99"/>
      <c r="L342" s="99"/>
      <c r="M342" s="99"/>
      <c r="N342" s="99"/>
      <c r="O342" s="170"/>
      <c r="P342" s="170"/>
    </row>
    <row r="343" spans="1:16">
      <c r="A343" s="222" t="s">
        <v>437</v>
      </c>
      <c r="B343" s="289">
        <f>Analysis!D34</f>
        <v>5.5829095703173806E-4</v>
      </c>
      <c r="C343" s="289">
        <f>Analysis!E34</f>
        <v>0.12573718065637959</v>
      </c>
      <c r="D343" s="289">
        <f>Analysis!F34</f>
        <v>0.143894127654245</v>
      </c>
      <c r="E343" s="290">
        <f t="shared" ref="E343:J343" si="115">(E84-E255)/E21</f>
        <v>0.12889835022470789</v>
      </c>
      <c r="F343" s="290">
        <f t="shared" si="115"/>
        <v>0.13014394526034773</v>
      </c>
      <c r="G343" s="290">
        <f t="shared" si="115"/>
        <v>0.13272791958456093</v>
      </c>
      <c r="H343" s="290">
        <f t="shared" si="115"/>
        <v>0.1351114462230161</v>
      </c>
      <c r="I343" s="290">
        <f t="shared" si="115"/>
        <v>0.15160973440359737</v>
      </c>
      <c r="J343" s="290">
        <f t="shared" si="115"/>
        <v>0.15160973440359712</v>
      </c>
      <c r="K343" s="265"/>
      <c r="L343" s="265"/>
      <c r="M343" s="265"/>
      <c r="N343" s="265"/>
      <c r="O343" s="170"/>
      <c r="P343" s="170"/>
    </row>
    <row r="344" spans="1:16">
      <c r="A344" s="222" t="s">
        <v>435</v>
      </c>
      <c r="B344" s="296">
        <f>Analysis!D35</f>
        <v>1.5065743138139127</v>
      </c>
      <c r="C344" s="296">
        <f>Analysis!E35</f>
        <v>1.477152710421382</v>
      </c>
      <c r="D344" s="296">
        <f>Analysis!F35</f>
        <v>1.6520231198923063</v>
      </c>
      <c r="E344" s="294">
        <f t="shared" ref="E344:J344" si="116">E21/((E166+D166)/2)</f>
        <v>1.715383637274702</v>
      </c>
      <c r="F344" s="294">
        <f t="shared" si="116"/>
        <v>1.7953184022922759</v>
      </c>
      <c r="G344" s="294">
        <f t="shared" si="116"/>
        <v>1.8757715200034739</v>
      </c>
      <c r="H344" s="294">
        <f t="shared" si="116"/>
        <v>1.9379504974385642</v>
      </c>
      <c r="I344" s="294">
        <f t="shared" si="116"/>
        <v>1.9479425520552078</v>
      </c>
      <c r="J344" s="294">
        <f t="shared" si="116"/>
        <v>1.8666688807187775</v>
      </c>
      <c r="K344" s="268"/>
      <c r="L344" s="268"/>
      <c r="M344" s="268"/>
      <c r="N344" s="268"/>
      <c r="O344" s="268"/>
      <c r="P344" s="268"/>
    </row>
    <row r="345" spans="1:16">
      <c r="A345" s="222" t="s">
        <v>438</v>
      </c>
      <c r="B345" s="296">
        <f>Analysis!D36</f>
        <v>2.0581383222792304</v>
      </c>
      <c r="C345" s="296">
        <f>Analysis!E36</f>
        <v>2.2835462767375558</v>
      </c>
      <c r="D345" s="296">
        <f>Analysis!F36</f>
        <v>2.0918908926961217</v>
      </c>
      <c r="E345" s="294">
        <f t="shared" ref="E345:J345" si="117">((E166+D166)/2)/((E234+D234)/2)</f>
        <v>2.386624768939829</v>
      </c>
      <c r="F345" s="294">
        <f t="shared" si="117"/>
        <v>2.6811714019505142</v>
      </c>
      <c r="G345" s="294">
        <f t="shared" si="117"/>
        <v>2.6606963094073373</v>
      </c>
      <c r="H345" s="294">
        <f t="shared" si="117"/>
        <v>2.6258591645685718</v>
      </c>
      <c r="I345" s="294">
        <f t="shared" si="117"/>
        <v>2.495604998135255</v>
      </c>
      <c r="J345" s="294">
        <f t="shared" si="117"/>
        <v>2.4052834747026548</v>
      </c>
      <c r="K345" s="268"/>
      <c r="L345" s="268"/>
      <c r="M345" s="268"/>
      <c r="N345" s="268"/>
      <c r="O345" s="268"/>
      <c r="P345" s="268"/>
    </row>
    <row r="346" spans="1:16">
      <c r="A346" s="295" t="s">
        <v>439</v>
      </c>
      <c r="B346" s="289">
        <f>Analysis!D37</f>
        <v>1.7311141701079218E-3</v>
      </c>
      <c r="C346" s="289">
        <f>Analysis!E37</f>
        <v>0.42412993991099446</v>
      </c>
      <c r="D346" s="289">
        <f>Analysis!F37</f>
        <v>0.49727682596934186</v>
      </c>
      <c r="E346" s="290">
        <f t="shared" ref="E346:J346" si="118">(E84-E255)/((E234+D234)/2)</f>
        <v>0.52770689107712954</v>
      </c>
      <c r="F346" s="290">
        <f t="shared" si="118"/>
        <v>0.62645521511389624</v>
      </c>
      <c r="G346" s="290">
        <f t="shared" si="118"/>
        <v>0.66242624713895637</v>
      </c>
      <c r="H346" s="290">
        <f t="shared" si="118"/>
        <v>0.68755311089046034</v>
      </c>
      <c r="I346" s="290">
        <f t="shared" si="118"/>
        <v>0.73701966942796193</v>
      </c>
      <c r="J346" s="290">
        <f t="shared" si="118"/>
        <v>0.68070766641401703</v>
      </c>
      <c r="K346" s="265"/>
      <c r="L346" s="265"/>
      <c r="M346" s="265"/>
      <c r="N346" s="265"/>
      <c r="O346" s="170"/>
      <c r="P346" s="170"/>
    </row>
    <row r="347" spans="1:16">
      <c r="A347" s="295"/>
      <c r="B347" s="289"/>
      <c r="C347" s="289"/>
      <c r="D347" s="289"/>
      <c r="E347" s="290"/>
      <c r="F347" s="290"/>
      <c r="G347" s="290"/>
      <c r="H347" s="290"/>
      <c r="I347" s="290"/>
      <c r="J347" s="290"/>
      <c r="K347" s="265"/>
      <c r="L347" s="265"/>
      <c r="M347" s="265"/>
      <c r="N347" s="265"/>
      <c r="O347" s="170"/>
      <c r="P347" s="170"/>
    </row>
    <row r="348" spans="1:16">
      <c r="A348" s="292" t="s">
        <v>227</v>
      </c>
      <c r="B348" s="214"/>
      <c r="C348" s="214"/>
      <c r="D348" s="214"/>
      <c r="E348" s="97"/>
      <c r="F348" s="97"/>
      <c r="G348" s="97"/>
      <c r="H348" s="97"/>
      <c r="I348" s="97"/>
      <c r="J348" s="97"/>
      <c r="K348" s="265"/>
      <c r="L348" s="265"/>
      <c r="M348" s="265"/>
      <c r="N348" s="265"/>
      <c r="O348" s="268"/>
      <c r="P348" s="268"/>
    </row>
    <row r="349" spans="1:16">
      <c r="A349" s="222" t="s">
        <v>437</v>
      </c>
      <c r="B349" s="289">
        <f>Analysis!D40</f>
        <v>0.12228354454220139</v>
      </c>
      <c r="C349" s="289">
        <f>Analysis!E40</f>
        <v>0.12493889760332691</v>
      </c>
      <c r="D349" s="289">
        <f>Analysis!F40</f>
        <v>0.13271746674529167</v>
      </c>
      <c r="E349" s="290">
        <f t="shared" ref="E349:J349" si="119">(E84-E255-((1+(E75/E71))*(E52+E68))-E78-E81)/E21</f>
        <v>0.12889835022470789</v>
      </c>
      <c r="F349" s="290">
        <f t="shared" si="119"/>
        <v>0.13014394526034773</v>
      </c>
      <c r="G349" s="290">
        <f t="shared" si="119"/>
        <v>0.13272791958456093</v>
      </c>
      <c r="H349" s="290">
        <f t="shared" si="119"/>
        <v>0.1351114462230161</v>
      </c>
      <c r="I349" s="290">
        <f t="shared" si="119"/>
        <v>0.15160973440359737</v>
      </c>
      <c r="J349" s="290">
        <f t="shared" si="119"/>
        <v>0.15160973440359712</v>
      </c>
      <c r="K349" s="265"/>
      <c r="L349" s="265"/>
      <c r="M349" s="265"/>
      <c r="N349" s="265"/>
      <c r="O349" s="170"/>
      <c r="P349" s="170"/>
    </row>
    <row r="350" spans="1:16">
      <c r="A350" s="222" t="s">
        <v>435</v>
      </c>
      <c r="B350" s="296">
        <f>Analysis!D41</f>
        <v>1.5065743138139127</v>
      </c>
      <c r="C350" s="296">
        <f>Analysis!E41</f>
        <v>1.477152710421382</v>
      </c>
      <c r="D350" s="296">
        <f>Analysis!F41</f>
        <v>1.6520231198923063</v>
      </c>
      <c r="E350" s="294">
        <f t="shared" ref="E350:J350" si="120">E21/((E166+D166)/2)</f>
        <v>1.715383637274702</v>
      </c>
      <c r="F350" s="294">
        <f t="shared" si="120"/>
        <v>1.7953184022922759</v>
      </c>
      <c r="G350" s="294">
        <f t="shared" si="120"/>
        <v>1.8757715200034739</v>
      </c>
      <c r="H350" s="294">
        <f t="shared" si="120"/>
        <v>1.9379504974385642</v>
      </c>
      <c r="I350" s="294">
        <f t="shared" si="120"/>
        <v>1.9479425520552078</v>
      </c>
      <c r="J350" s="294">
        <f t="shared" si="120"/>
        <v>1.8666688807187775</v>
      </c>
      <c r="K350" s="265"/>
      <c r="L350" s="265"/>
      <c r="M350" s="265"/>
      <c r="N350" s="265"/>
      <c r="O350" s="265"/>
      <c r="P350" s="265"/>
    </row>
    <row r="351" spans="1:16">
      <c r="A351" s="222" t="s">
        <v>438</v>
      </c>
      <c r="B351" s="296">
        <f>Analysis!D42</f>
        <v>2.0581383222792304</v>
      </c>
      <c r="C351" s="296">
        <f>Analysis!E42</f>
        <v>2.2835462767375558</v>
      </c>
      <c r="D351" s="296">
        <f>Analysis!F42</f>
        <v>2.0918908926961217</v>
      </c>
      <c r="E351" s="294">
        <f t="shared" ref="E351:J351" si="121">((E166+D166)/2)/((E234+D234)/2)</f>
        <v>2.386624768939829</v>
      </c>
      <c r="F351" s="294">
        <f t="shared" si="121"/>
        <v>2.6811714019505142</v>
      </c>
      <c r="G351" s="294">
        <f t="shared" si="121"/>
        <v>2.6606963094073373</v>
      </c>
      <c r="H351" s="294">
        <f t="shared" si="121"/>
        <v>2.6258591645685718</v>
      </c>
      <c r="I351" s="294">
        <f t="shared" si="121"/>
        <v>2.495604998135255</v>
      </c>
      <c r="J351" s="294">
        <f t="shared" si="121"/>
        <v>2.4052834747026548</v>
      </c>
      <c r="K351" s="265"/>
      <c r="L351" s="265"/>
      <c r="M351" s="265"/>
      <c r="N351" s="265"/>
      <c r="O351" s="268"/>
      <c r="P351" s="268"/>
    </row>
    <row r="352" spans="1:16">
      <c r="A352" s="295" t="s">
        <v>439</v>
      </c>
      <c r="B352" s="289">
        <f>Analysis!D43</f>
        <v>0.37916927376632031</v>
      </c>
      <c r="C352" s="289">
        <f>Analysis!E43</f>
        <v>0.42143721416705976</v>
      </c>
      <c r="D352" s="289">
        <f>Analysis!F43</f>
        <v>0.45865193868349874</v>
      </c>
      <c r="E352" s="290">
        <f t="shared" ref="E352:J352" si="122">(E84-E255-((1+(E75/E71))*(E52+E68))-E78-E81)/((E234+D234)/2)</f>
        <v>0.52770689107712954</v>
      </c>
      <c r="F352" s="290">
        <f t="shared" si="122"/>
        <v>0.62645521511389624</v>
      </c>
      <c r="G352" s="290">
        <f t="shared" si="122"/>
        <v>0.66242624713895637</v>
      </c>
      <c r="H352" s="290">
        <f t="shared" si="122"/>
        <v>0.68755311089046034</v>
      </c>
      <c r="I352" s="290">
        <f t="shared" si="122"/>
        <v>0.73701966942796193</v>
      </c>
      <c r="J352" s="290">
        <f t="shared" si="122"/>
        <v>0.68070766641401703</v>
      </c>
      <c r="K352" s="265"/>
      <c r="L352" s="265"/>
      <c r="M352" s="265"/>
      <c r="N352" s="265"/>
      <c r="O352" s="268"/>
      <c r="P352" s="268"/>
    </row>
    <row r="353" spans="1:16">
      <c r="A353" s="295"/>
      <c r="B353" s="214"/>
      <c r="C353" s="214"/>
      <c r="D353" s="214"/>
      <c r="E353" s="97"/>
      <c r="F353" s="97"/>
      <c r="G353" s="97"/>
      <c r="H353" s="97"/>
      <c r="I353" s="97"/>
      <c r="J353" s="97"/>
      <c r="K353" s="99"/>
      <c r="L353" s="99"/>
      <c r="M353" s="99"/>
      <c r="N353" s="99"/>
      <c r="O353" s="268"/>
      <c r="P353" s="268"/>
    </row>
    <row r="354" spans="1:16">
      <c r="A354" s="210" t="s">
        <v>440</v>
      </c>
      <c r="B354" s="214"/>
      <c r="C354" s="214"/>
      <c r="D354" s="214"/>
      <c r="E354" s="97"/>
      <c r="F354" s="97"/>
      <c r="G354" s="97"/>
      <c r="H354" s="97"/>
      <c r="I354" s="97"/>
      <c r="J354" s="97"/>
      <c r="K354" s="99"/>
      <c r="L354" s="99"/>
      <c r="M354" s="99"/>
      <c r="N354" s="99"/>
      <c r="O354" s="170"/>
      <c r="P354" s="170"/>
    </row>
    <row r="355" spans="1:16">
      <c r="A355" s="222" t="s">
        <v>29</v>
      </c>
      <c r="B355" s="289">
        <f>Analysis!D46</f>
        <v>0.57070115963085533</v>
      </c>
      <c r="C355" s="289">
        <f>Analysis!E46</f>
        <v>0.58299590218752662</v>
      </c>
      <c r="D355" s="289">
        <f>Analysis!F46</f>
        <v>0.59361154743329492</v>
      </c>
      <c r="E355" s="290">
        <f t="shared" ref="E355:J355" si="123">E27/E21</f>
        <v>0.6008231565599611</v>
      </c>
      <c r="F355" s="290">
        <f t="shared" si="123"/>
        <v>0.60328882503447434</v>
      </c>
      <c r="G355" s="290">
        <f t="shared" si="123"/>
        <v>0.60688284379435109</v>
      </c>
      <c r="H355" s="290">
        <f t="shared" si="123"/>
        <v>0.61046210818283864</v>
      </c>
      <c r="I355" s="290">
        <f t="shared" si="123"/>
        <v>0.61402254528984279</v>
      </c>
      <c r="J355" s="290">
        <f t="shared" si="123"/>
        <v>0.61402254528984268</v>
      </c>
      <c r="K355" s="265"/>
      <c r="L355" s="265"/>
      <c r="M355" s="265"/>
      <c r="N355" s="265"/>
      <c r="O355" s="170"/>
      <c r="P355" s="170"/>
    </row>
    <row r="356" spans="1:16">
      <c r="A356" s="222" t="s">
        <v>441</v>
      </c>
      <c r="B356" s="289">
        <f>Analysis!D47</f>
        <v>-2.1887696074474706E-2</v>
      </c>
      <c r="C356" s="289">
        <f>Analysis!E47</f>
        <v>0.18732596456668979</v>
      </c>
      <c r="D356" s="289">
        <f>Analysis!F47</f>
        <v>0.18791715154962513</v>
      </c>
      <c r="E356" s="290">
        <f t="shared" ref="E356:J356" si="124">E55/E21</f>
        <v>0.19686454029559616</v>
      </c>
      <c r="F356" s="290">
        <f t="shared" si="124"/>
        <v>0.19899700868937478</v>
      </c>
      <c r="G356" s="290">
        <f t="shared" si="124"/>
        <v>0.20257023395258261</v>
      </c>
      <c r="H356" s="290">
        <f t="shared" si="124"/>
        <v>0.20586584642022535</v>
      </c>
      <c r="I356" s="290">
        <f t="shared" si="124"/>
        <v>0.23058301086965541</v>
      </c>
      <c r="J356" s="290">
        <f t="shared" si="124"/>
        <v>0.23058301086965521</v>
      </c>
      <c r="K356" s="265"/>
      <c r="L356" s="265"/>
      <c r="M356" s="265"/>
      <c r="N356" s="265"/>
      <c r="O356" s="268"/>
      <c r="P356" s="268"/>
    </row>
    <row r="357" spans="1:16">
      <c r="A357" s="222"/>
      <c r="B357" s="214"/>
      <c r="C357" s="214"/>
      <c r="D357" s="214"/>
      <c r="E357" s="291"/>
      <c r="F357" s="291"/>
      <c r="G357" s="291"/>
      <c r="H357" s="291"/>
      <c r="I357" s="291"/>
      <c r="J357" s="291"/>
      <c r="K357" s="170"/>
      <c r="L357" s="170"/>
      <c r="M357" s="170"/>
      <c r="N357" s="170"/>
      <c r="O357" s="268"/>
      <c r="P357" s="268"/>
    </row>
    <row r="358" spans="1:16">
      <c r="A358" s="210" t="s">
        <v>443</v>
      </c>
      <c r="B358" s="214"/>
      <c r="C358" s="214"/>
      <c r="D358" s="214"/>
      <c r="E358" s="291"/>
      <c r="F358" s="291"/>
      <c r="G358" s="290"/>
      <c r="H358" s="290"/>
      <c r="I358" s="290"/>
      <c r="J358" s="290"/>
      <c r="K358" s="265"/>
      <c r="L358" s="265"/>
      <c r="M358" s="265"/>
      <c r="N358" s="265"/>
      <c r="O358" s="170"/>
      <c r="P358" s="170"/>
    </row>
    <row r="359" spans="1:16">
      <c r="A359" s="222" t="s">
        <v>30</v>
      </c>
      <c r="B359" s="296">
        <f>Analysis!D88</f>
        <v>28.390718991692925</v>
      </c>
      <c r="C359" s="296">
        <f>Analysis!E88</f>
        <v>27.587722240858771</v>
      </c>
      <c r="D359" s="296">
        <f>Analysis!F88</f>
        <v>28.389185185185188</v>
      </c>
      <c r="E359" s="294">
        <f t="shared" ref="E359:J359" si="125">E21/((E121+D121)/2)</f>
        <v>28.080368734036572</v>
      </c>
      <c r="F359" s="294">
        <f t="shared" si="125"/>
        <v>27.32022923949814</v>
      </c>
      <c r="G359" s="294">
        <f t="shared" si="125"/>
        <v>27.342685754903936</v>
      </c>
      <c r="H359" s="294">
        <f t="shared" si="125"/>
        <v>27.138235568337819</v>
      </c>
      <c r="I359" s="294">
        <f t="shared" si="125"/>
        <v>26.950742227527297</v>
      </c>
      <c r="J359" s="294">
        <f t="shared" si="125"/>
        <v>25.950803971564895</v>
      </c>
      <c r="K359" s="268"/>
      <c r="L359" s="268"/>
      <c r="M359" s="268"/>
      <c r="N359" s="268"/>
      <c r="O359" s="170"/>
      <c r="P359" s="170"/>
    </row>
    <row r="360" spans="1:16">
      <c r="A360" s="222" t="s">
        <v>444</v>
      </c>
      <c r="B360" s="296">
        <f>Analysis!D90</f>
        <v>5.425511114889277</v>
      </c>
      <c r="C360" s="296">
        <f>Analysis!E90</f>
        <v>6.2293265519277048</v>
      </c>
      <c r="D360" s="296">
        <f>Analysis!F90</f>
        <v>6.4968923372126968</v>
      </c>
      <c r="E360" s="294">
        <f t="shared" ref="E360:J360" si="126">-E24/((E124+D124)/2)</f>
        <v>6.5704623848888923</v>
      </c>
      <c r="F360" s="294">
        <f t="shared" si="126"/>
        <v>6.7840284974957683</v>
      </c>
      <c r="G360" s="294">
        <f t="shared" si="126"/>
        <v>6.8305275814988962</v>
      </c>
      <c r="H360" s="294">
        <f t="shared" si="126"/>
        <v>6.8248891877712747</v>
      </c>
      <c r="I360" s="294">
        <f t="shared" si="126"/>
        <v>6.8197371693591249</v>
      </c>
      <c r="J360" s="294">
        <f t="shared" si="126"/>
        <v>6.6141801548205494</v>
      </c>
      <c r="K360" s="268"/>
      <c r="L360" s="268"/>
      <c r="M360" s="268"/>
      <c r="N360" s="268"/>
      <c r="O360" s="268"/>
      <c r="P360" s="268"/>
    </row>
    <row r="361" spans="1:16">
      <c r="A361" s="222" t="s">
        <v>31</v>
      </c>
      <c r="B361" s="296">
        <f>Analysis!D95</f>
        <v>5.0745127487456054</v>
      </c>
      <c r="C361" s="296">
        <f>Analysis!E95</f>
        <v>4.8955428231267204</v>
      </c>
      <c r="D361" s="296">
        <f>Analysis!F95</f>
        <v>5.0379766802939292</v>
      </c>
      <c r="E361" s="294">
        <f t="shared" ref="E361:J361" si="127">E21/((E145+E148+D145+D148)/2)</f>
        <v>2.0255215026054394</v>
      </c>
      <c r="F361" s="294">
        <f t="shared" si="127"/>
        <v>1.9448860559409424</v>
      </c>
      <c r="G361" s="294">
        <f t="shared" si="127"/>
        <v>1.8999249183347984</v>
      </c>
      <c r="H361" s="294">
        <f t="shared" si="127"/>
        <v>1.844423572059307</v>
      </c>
      <c r="I361" s="294">
        <f t="shared" si="127"/>
        <v>1.7857352101996546</v>
      </c>
      <c r="J361" s="294">
        <f t="shared" si="127"/>
        <v>1.6983973276686579</v>
      </c>
      <c r="K361" s="268"/>
      <c r="L361" s="268"/>
      <c r="M361" s="268"/>
      <c r="N361" s="268"/>
      <c r="O361" s="170"/>
      <c r="P361" s="170"/>
    </row>
    <row r="362" spans="1:16">
      <c r="A362" s="222"/>
      <c r="B362" s="214"/>
      <c r="C362" s="214"/>
      <c r="D362" s="214"/>
      <c r="E362" s="97"/>
      <c r="F362" s="97"/>
      <c r="G362" s="291"/>
      <c r="H362" s="291"/>
      <c r="I362" s="291"/>
      <c r="J362" s="291"/>
      <c r="K362" s="170"/>
      <c r="L362" s="170"/>
      <c r="M362" s="170"/>
      <c r="N362" s="170"/>
      <c r="O362" s="265"/>
      <c r="P362" s="265"/>
    </row>
    <row r="363" spans="1:16">
      <c r="A363" s="210" t="s">
        <v>446</v>
      </c>
      <c r="B363" s="214"/>
      <c r="C363" s="214"/>
      <c r="D363" s="214"/>
      <c r="E363" s="97"/>
      <c r="F363" s="97"/>
      <c r="G363" s="291"/>
      <c r="H363" s="291"/>
      <c r="I363" s="291"/>
      <c r="J363" s="291"/>
      <c r="K363" s="170"/>
      <c r="L363" s="170"/>
      <c r="M363" s="170"/>
      <c r="N363" s="170"/>
      <c r="O363" s="268"/>
      <c r="P363" s="268"/>
    </row>
    <row r="364" spans="1:16">
      <c r="A364" s="222" t="s">
        <v>447</v>
      </c>
      <c r="B364" s="296">
        <f>Analysis!D81</f>
        <v>1.0174994885909285</v>
      </c>
      <c r="C364" s="296">
        <f>Analysis!E81</f>
        <v>1.3718695494783952</v>
      </c>
      <c r="D364" s="296">
        <f>Analysis!F81</f>
        <v>1.1913972902696044</v>
      </c>
      <c r="E364" s="294">
        <f t="shared" ref="E364:J364" si="128">E139/E195</f>
        <v>0.99281174393910598</v>
      </c>
      <c r="F364" s="294">
        <f t="shared" si="128"/>
        <v>1.0900397982383359</v>
      </c>
      <c r="G364" s="294">
        <f t="shared" si="128"/>
        <v>1.0141838522560054</v>
      </c>
      <c r="H364" s="294">
        <f t="shared" si="128"/>
        <v>1.0860030881590761</v>
      </c>
      <c r="I364" s="294">
        <f t="shared" si="128"/>
        <v>1.0840021206303023</v>
      </c>
      <c r="J364" s="294">
        <f t="shared" si="128"/>
        <v>1.0840021206303023</v>
      </c>
      <c r="K364" s="268"/>
      <c r="L364" s="268"/>
      <c r="M364" s="268"/>
      <c r="N364" s="268"/>
      <c r="O364" s="268"/>
      <c r="P364" s="268"/>
    </row>
    <row r="365" spans="1:16">
      <c r="A365" s="222" t="s">
        <v>448</v>
      </c>
      <c r="B365" s="296">
        <f>Analysis!D82</f>
        <v>0.70578171201160445</v>
      </c>
      <c r="C365" s="296">
        <f>Analysis!E82</f>
        <v>0.81442722216737418</v>
      </c>
      <c r="D365" s="296">
        <f>Analysis!F82</f>
        <v>0.63785411249486779</v>
      </c>
      <c r="E365" s="294">
        <f t="shared" ref="E365:J365" si="129">(E115+E118+E121)/E195</f>
        <v>0.61123716389484384</v>
      </c>
      <c r="F365" s="294">
        <f t="shared" si="129"/>
        <v>0.67457978048700473</v>
      </c>
      <c r="G365" s="294">
        <f t="shared" si="129"/>
        <v>0.63216366154482873</v>
      </c>
      <c r="H365" s="294">
        <f t="shared" si="129"/>
        <v>0.68169817244471376</v>
      </c>
      <c r="I365" s="294">
        <f t="shared" si="129"/>
        <v>0.68511935500722576</v>
      </c>
      <c r="J365" s="294">
        <f t="shared" si="129"/>
        <v>0.68511935500722587</v>
      </c>
      <c r="K365" s="268"/>
      <c r="L365" s="268"/>
      <c r="M365" s="268"/>
      <c r="N365" s="268"/>
      <c r="O365" s="268"/>
      <c r="P365" s="268"/>
    </row>
    <row r="366" spans="1:16">
      <c r="A366" s="222"/>
      <c r="B366" s="214"/>
      <c r="C366" s="214"/>
      <c r="D366" s="214"/>
      <c r="E366" s="291"/>
      <c r="F366" s="291"/>
      <c r="G366" s="291"/>
      <c r="H366" s="291"/>
      <c r="I366" s="291"/>
      <c r="J366" s="291"/>
      <c r="K366" s="170"/>
      <c r="L366" s="170"/>
      <c r="M366" s="170"/>
      <c r="N366" s="170"/>
      <c r="O366" s="170"/>
      <c r="P366" s="170"/>
    </row>
    <row r="367" spans="1:16">
      <c r="A367" s="210" t="s">
        <v>450</v>
      </c>
      <c r="B367" s="214"/>
      <c r="C367" s="214"/>
      <c r="D367" s="214"/>
      <c r="E367" s="291"/>
      <c r="F367" s="291"/>
      <c r="G367" s="291"/>
      <c r="H367" s="291"/>
      <c r="I367" s="291"/>
      <c r="J367" s="291"/>
      <c r="K367" s="170"/>
      <c r="L367" s="170"/>
      <c r="M367" s="170"/>
      <c r="N367" s="170"/>
      <c r="O367" s="170"/>
      <c r="P367" s="170"/>
    </row>
    <row r="368" spans="1:16">
      <c r="A368" s="222" t="s">
        <v>451</v>
      </c>
      <c r="B368" s="289">
        <f>Analysis!D102</f>
        <v>0.6107999687410457</v>
      </c>
      <c r="C368" s="289">
        <f>Analysis!E102</f>
        <v>0.50955556175543348</v>
      </c>
      <c r="D368" s="289">
        <f>Analysis!F102</f>
        <v>0.53239671320574933</v>
      </c>
      <c r="E368" s="290">
        <f t="shared" ref="E368:J368" si="130">E213/E166</f>
        <v>0.62800349772382758</v>
      </c>
      <c r="F368" s="290">
        <f t="shared" si="130"/>
        <v>0.62610508138023069</v>
      </c>
      <c r="G368" s="290">
        <f t="shared" si="130"/>
        <v>0.62234028145621068</v>
      </c>
      <c r="H368" s="290">
        <f t="shared" si="130"/>
        <v>0.61622808296970699</v>
      </c>
      <c r="I368" s="290">
        <f t="shared" si="130"/>
        <v>0.58424858836082882</v>
      </c>
      <c r="J368" s="290">
        <f t="shared" si="130"/>
        <v>0.58424858836082871</v>
      </c>
      <c r="K368" s="268"/>
      <c r="L368" s="268"/>
      <c r="M368" s="268"/>
      <c r="N368" s="268"/>
      <c r="O368" s="268"/>
      <c r="P368" s="268"/>
    </row>
    <row r="369" spans="1:16">
      <c r="A369" s="222" t="s">
        <v>16</v>
      </c>
      <c r="B369" s="290">
        <f>Analysis!D103</f>
        <v>1.5693728666086604</v>
      </c>
      <c r="C369" s="290">
        <f>Analysis!E103</f>
        <v>1.0389669492007507</v>
      </c>
      <c r="D369" s="290">
        <f>Analysis!F103</f>
        <v>1.1385786453142719</v>
      </c>
      <c r="E369" s="290">
        <f t="shared" ref="E369:J369" si="131">E213/E234</f>
        <v>1.6881973187414387</v>
      </c>
      <c r="F369" s="290">
        <f t="shared" si="131"/>
        <v>1.6745482492554145</v>
      </c>
      <c r="G369" s="290">
        <f t="shared" si="131"/>
        <v>1.6478863137850142</v>
      </c>
      <c r="H369" s="290">
        <f t="shared" si="131"/>
        <v>1.6057143725841327</v>
      </c>
      <c r="I369" s="290">
        <f t="shared" si="131"/>
        <v>1.4052834747026561</v>
      </c>
      <c r="J369" s="290">
        <f t="shared" si="131"/>
        <v>1.4052834747026548</v>
      </c>
      <c r="K369" s="268"/>
      <c r="L369" s="268"/>
      <c r="M369" s="268"/>
      <c r="N369" s="268"/>
      <c r="O369" s="268"/>
      <c r="P369" s="268"/>
    </row>
    <row r="370" spans="1:16">
      <c r="A370" s="222" t="s">
        <v>453</v>
      </c>
      <c r="B370" s="296">
        <f>Analysis!D107</f>
        <v>-7.181494661921727</v>
      </c>
      <c r="C370" s="296">
        <f>Analysis!E107</f>
        <v>50.293291731669271</v>
      </c>
      <c r="D370" s="296">
        <f>Analysis!F107</f>
        <v>56.361702127659591</v>
      </c>
      <c r="E370" s="294">
        <f t="shared" ref="E370:J370" si="132">(E71-E62)/(-E62)</f>
        <v>55.931705827104075</v>
      </c>
      <c r="F370" s="294">
        <f t="shared" si="132"/>
        <v>52.513880797530078</v>
      </c>
      <c r="G370" s="294">
        <f t="shared" si="132"/>
        <v>59.359884097932706</v>
      </c>
      <c r="H370" s="294">
        <f t="shared" si="132"/>
        <v>66.881407538147386</v>
      </c>
      <c r="I370" s="294">
        <f t="shared" si="132"/>
        <v>82.854736634757501</v>
      </c>
      <c r="J370" s="294">
        <f t="shared" si="132"/>
        <v>82.854736634757415</v>
      </c>
      <c r="K370" s="268"/>
      <c r="L370" s="268"/>
      <c r="M370" s="268"/>
      <c r="N370" s="268"/>
      <c r="O370" s="170"/>
      <c r="P370" s="170"/>
    </row>
    <row r="371" spans="1:16">
      <c r="A371" s="50"/>
      <c r="B371" s="50"/>
      <c r="C371" s="50"/>
      <c r="D371" s="50"/>
      <c r="E371" s="50"/>
      <c r="F371" s="50"/>
      <c r="G371" s="50"/>
      <c r="H371" s="50"/>
      <c r="I371" s="50"/>
      <c r="J371" s="50"/>
      <c r="K371" s="50"/>
      <c r="L371" s="50"/>
      <c r="M371" s="50"/>
      <c r="N371" s="50"/>
      <c r="O371" s="170"/>
      <c r="P371" s="170"/>
    </row>
    <row r="372" spans="1:16">
      <c r="A372" s="50"/>
      <c r="B372" s="50"/>
      <c r="C372" s="50"/>
      <c r="D372" s="50"/>
      <c r="E372" s="50"/>
      <c r="F372" s="50"/>
      <c r="G372" s="50"/>
      <c r="H372" s="50"/>
      <c r="I372" s="50"/>
      <c r="J372" s="50"/>
      <c r="K372" s="50"/>
      <c r="L372" s="50"/>
      <c r="M372" s="50"/>
      <c r="N372" s="50"/>
      <c r="O372" s="268"/>
      <c r="P372" s="268"/>
    </row>
    <row r="373" spans="1:16">
      <c r="A373" s="50"/>
      <c r="B373" s="50"/>
      <c r="C373" s="50"/>
      <c r="D373" s="50"/>
      <c r="E373" s="50"/>
      <c r="F373" s="50"/>
      <c r="G373" s="50"/>
      <c r="H373" s="50"/>
      <c r="I373" s="50"/>
      <c r="J373" s="50"/>
      <c r="K373" s="50"/>
      <c r="L373" s="50"/>
      <c r="M373" s="50"/>
      <c r="N373" s="50"/>
      <c r="O373" s="170"/>
      <c r="P373" s="170"/>
    </row>
    <row r="374" spans="1:16">
      <c r="A374" s="50"/>
      <c r="B374" s="50"/>
      <c r="C374" s="50"/>
      <c r="D374" s="50"/>
      <c r="E374" s="50"/>
      <c r="F374" s="50"/>
      <c r="G374" s="50"/>
      <c r="H374" s="50"/>
      <c r="I374" s="50"/>
      <c r="J374" s="50"/>
      <c r="K374" s="50"/>
      <c r="L374" s="50"/>
      <c r="M374" s="50"/>
      <c r="N374" s="50"/>
      <c r="O374" s="265"/>
      <c r="P374" s="265"/>
    </row>
    <row r="375" spans="1:16">
      <c r="A375" s="50"/>
      <c r="B375" s="50"/>
      <c r="C375" s="50"/>
      <c r="D375" s="50"/>
      <c r="E375" s="50"/>
      <c r="F375" s="50"/>
      <c r="G375" s="50"/>
      <c r="H375" s="50"/>
      <c r="I375" s="50"/>
      <c r="J375" s="50"/>
      <c r="K375" s="50"/>
      <c r="L375" s="50"/>
      <c r="M375" s="50"/>
      <c r="N375" s="50"/>
      <c r="O375" s="268"/>
      <c r="P375" s="268"/>
    </row>
    <row r="376" spans="1:16">
      <c r="A376" s="50"/>
      <c r="B376" s="50"/>
      <c r="C376" s="50"/>
      <c r="D376" s="50"/>
      <c r="E376" s="50"/>
      <c r="F376" s="50"/>
      <c r="G376" s="50"/>
      <c r="H376" s="50"/>
      <c r="I376" s="50"/>
      <c r="J376" s="50"/>
      <c r="K376" s="50"/>
      <c r="L376" s="50"/>
      <c r="M376" s="50"/>
      <c r="N376" s="50"/>
      <c r="O376" s="268"/>
      <c r="P376" s="268"/>
    </row>
    <row r="377" spans="1:16">
      <c r="A377" s="50"/>
      <c r="B377" s="50"/>
      <c r="C377" s="50"/>
      <c r="D377" s="50"/>
      <c r="E377" s="50"/>
      <c r="F377" s="50"/>
      <c r="G377" s="50"/>
      <c r="H377" s="50"/>
      <c r="I377" s="50"/>
      <c r="J377" s="50"/>
      <c r="K377" s="50"/>
      <c r="L377" s="50"/>
      <c r="M377" s="50"/>
      <c r="N377" s="50"/>
      <c r="O377" s="268"/>
      <c r="P377" s="268"/>
    </row>
    <row r="378" spans="1:16">
      <c r="A378" s="50"/>
      <c r="B378" s="50"/>
      <c r="C378" s="50"/>
      <c r="D378" s="50"/>
      <c r="E378" s="50"/>
      <c r="F378" s="50"/>
      <c r="G378" s="50"/>
      <c r="H378" s="50"/>
      <c r="I378" s="50"/>
      <c r="J378" s="50"/>
      <c r="K378" s="50"/>
      <c r="L378" s="50"/>
      <c r="M378" s="50"/>
      <c r="N378" s="50"/>
      <c r="O378" s="170"/>
      <c r="P378" s="170"/>
    </row>
    <row r="379" spans="1:16">
      <c r="A379" s="50"/>
      <c r="B379" s="50"/>
      <c r="C379" s="50"/>
      <c r="D379" s="50"/>
      <c r="E379" s="50"/>
      <c r="F379" s="50"/>
      <c r="G379" s="50"/>
      <c r="H379" s="50"/>
      <c r="I379" s="50"/>
      <c r="J379" s="50"/>
      <c r="K379" s="50"/>
      <c r="L379" s="50"/>
      <c r="M379" s="50"/>
      <c r="N379" s="50"/>
      <c r="O379" s="170"/>
      <c r="P379" s="170"/>
    </row>
    <row r="380" spans="1:16">
      <c r="A380" s="50"/>
      <c r="B380" s="50"/>
      <c r="C380" s="50"/>
      <c r="D380" s="50"/>
      <c r="E380" s="50"/>
      <c r="F380" s="50"/>
      <c r="G380" s="50"/>
      <c r="H380" s="50"/>
      <c r="I380" s="50"/>
      <c r="J380" s="50"/>
      <c r="K380" s="50"/>
      <c r="L380" s="50"/>
      <c r="M380" s="50"/>
      <c r="N380" s="50"/>
      <c r="O380" s="268"/>
      <c r="P380" s="268"/>
    </row>
    <row r="381" spans="1:16">
      <c r="A381" s="50"/>
      <c r="B381" s="50"/>
      <c r="C381" s="50"/>
      <c r="D381" s="50"/>
      <c r="E381" s="50"/>
      <c r="F381" s="50"/>
      <c r="G381" s="50"/>
      <c r="H381" s="50"/>
      <c r="I381" s="50"/>
      <c r="J381" s="50"/>
      <c r="K381" s="50"/>
      <c r="L381" s="50"/>
      <c r="M381" s="50"/>
      <c r="N381" s="50"/>
      <c r="O381" s="268"/>
      <c r="P381" s="268"/>
    </row>
    <row r="382" spans="1:16">
      <c r="A382" s="50"/>
      <c r="B382" s="50"/>
      <c r="C382" s="50"/>
      <c r="D382" s="50"/>
      <c r="E382" s="50"/>
      <c r="F382" s="50"/>
      <c r="G382" s="50"/>
      <c r="H382" s="50"/>
      <c r="I382" s="50"/>
      <c r="J382" s="50"/>
      <c r="K382" s="50"/>
      <c r="L382" s="50"/>
      <c r="M382" s="50"/>
      <c r="N382" s="50"/>
    </row>
    <row r="383" spans="1:16">
      <c r="A383" s="50"/>
      <c r="B383" s="50"/>
      <c r="C383" s="50"/>
      <c r="D383" s="50"/>
      <c r="E383" s="50"/>
      <c r="F383" s="50"/>
      <c r="G383" s="50"/>
      <c r="H383" s="50"/>
      <c r="I383" s="50"/>
      <c r="J383" s="50"/>
      <c r="K383" s="50"/>
      <c r="L383" s="50"/>
      <c r="M383" s="50"/>
      <c r="N383" s="50"/>
    </row>
    <row r="384" spans="1:16">
      <c r="K384" s="50"/>
      <c r="L384" s="50"/>
      <c r="M384" s="50"/>
      <c r="N384" s="50"/>
    </row>
    <row r="385" spans="11:14">
      <c r="K385" s="50"/>
      <c r="L385" s="50"/>
      <c r="M385" s="50"/>
      <c r="N385" s="50"/>
    </row>
  </sheetData>
  <phoneticPr fontId="0" type="noConversion"/>
  <pageMargins left="0.75" right="0.75" top="1" bottom="1" header="0.5" footer="0.5"/>
  <pageSetup scale="79" orientation="landscape" r:id="rId1"/>
  <headerFooter alignWithMargins="0"/>
  <rowBreaks count="10" manualBreakCount="10">
    <brk id="30" max="9" man="1"/>
    <brk id="58" max="9" man="1"/>
    <brk id="74" max="9" man="1"/>
    <brk id="100" max="9" man="1"/>
    <brk id="141" max="9" man="1"/>
    <brk id="169" max="9" man="1"/>
    <brk id="215" max="9" man="1"/>
    <brk id="259" max="9" man="1"/>
    <brk id="317" max="9" man="1"/>
    <brk id="353" max="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A277"/>
  <sheetViews>
    <sheetView topLeftCell="A232" zoomScale="120" zoomScaleNormal="120" workbookViewId="0">
      <selection activeCell="D230" sqref="D230"/>
    </sheetView>
  </sheetViews>
  <sheetFormatPr defaultRowHeight="12.75" outlineLevelCol="1"/>
  <cols>
    <col min="1" max="1" width="38.85546875" style="17" customWidth="1"/>
    <col min="2" max="4" width="10.7109375" style="17" customWidth="1"/>
    <col min="5" max="7" width="10.7109375" style="17" customWidth="1" outlineLevel="1"/>
    <col min="8" max="8" width="11.42578125" style="17" customWidth="1" outlineLevel="1"/>
    <col min="9" max="9" width="11.7109375" style="17" customWidth="1" outlineLevel="1"/>
    <col min="10" max="10" width="10.7109375" style="17" customWidth="1"/>
    <col min="11" max="16384" width="9.140625" style="17"/>
  </cols>
  <sheetData>
    <row r="1" spans="1:18">
      <c r="A1" s="1" t="str">
        <f>Data!A1</f>
        <v>Financial Statement Analysis Package (FSAP): Version 9.0</v>
      </c>
      <c r="B1" s="176"/>
      <c r="C1" s="176"/>
      <c r="D1" s="176"/>
      <c r="E1" s="176"/>
      <c r="F1" s="233"/>
      <c r="G1" s="233"/>
      <c r="H1" s="233"/>
      <c r="I1" s="234"/>
      <c r="K1" s="5"/>
      <c r="L1" s="6"/>
      <c r="M1" s="6"/>
      <c r="N1" s="6"/>
      <c r="O1" s="7"/>
    </row>
    <row r="2" spans="1:18">
      <c r="A2" s="9" t="str">
        <f>Data!A2</f>
        <v>Financial Reporting, Financial Statement Analysis, and Valuation: A Strategic Perspective, 9th Edition</v>
      </c>
      <c r="B2" s="178"/>
      <c r="C2" s="178"/>
      <c r="D2" s="178"/>
      <c r="E2" s="178"/>
      <c r="F2" s="178"/>
      <c r="G2" s="178"/>
      <c r="H2" s="178"/>
      <c r="I2" s="297"/>
      <c r="K2" s="9" t="s">
        <v>409</v>
      </c>
      <c r="L2" s="10"/>
      <c r="M2" s="10"/>
      <c r="N2" s="10"/>
      <c r="O2" s="11"/>
    </row>
    <row r="3" spans="1:18" ht="13.5" thickBot="1">
      <c r="A3" s="12" t="s">
        <v>410</v>
      </c>
      <c r="B3" s="124"/>
      <c r="C3" s="124"/>
      <c r="D3" s="124"/>
      <c r="E3" s="124"/>
      <c r="F3" s="124"/>
      <c r="G3" s="124"/>
      <c r="H3" s="124"/>
      <c r="I3" s="298"/>
      <c r="K3" s="15"/>
      <c r="L3" s="13"/>
      <c r="M3" s="13"/>
      <c r="N3" s="13"/>
      <c r="O3" s="14"/>
    </row>
    <row r="4" spans="1:18">
      <c r="K4" s="28" t="s">
        <v>543</v>
      </c>
      <c r="L4" s="28"/>
      <c r="M4" s="28"/>
      <c r="N4" s="28"/>
      <c r="O4" s="28"/>
      <c r="P4" s="28"/>
      <c r="Q4" s="28"/>
      <c r="R4" s="28"/>
    </row>
    <row r="6" spans="1:18">
      <c r="A6" s="18" t="s">
        <v>531</v>
      </c>
      <c r="K6" s="109" t="s">
        <v>10</v>
      </c>
    </row>
    <row r="7" spans="1:18">
      <c r="K7" s="17" t="s">
        <v>230</v>
      </c>
    </row>
    <row r="8" spans="1:18">
      <c r="K8" s="17" t="s">
        <v>820</v>
      </c>
    </row>
    <row r="9" spans="1:18">
      <c r="K9" s="17" t="s">
        <v>9</v>
      </c>
    </row>
    <row r="10" spans="1:18">
      <c r="A10" s="109"/>
      <c r="K10" s="17" t="s">
        <v>118</v>
      </c>
    </row>
    <row r="11" spans="1:18">
      <c r="A11" s="299" t="s">
        <v>420</v>
      </c>
      <c r="B11" s="300" t="str">
        <f>Data!B9</f>
        <v>Wahlen, Baginski &amp; Bradshaw</v>
      </c>
      <c r="C11" s="184"/>
      <c r="D11" s="184"/>
      <c r="E11" s="184"/>
      <c r="F11" s="184"/>
      <c r="G11" s="184"/>
      <c r="H11" s="184"/>
      <c r="I11" s="184"/>
      <c r="J11" s="52"/>
    </row>
    <row r="12" spans="1:18">
      <c r="A12" s="299" t="s">
        <v>421</v>
      </c>
      <c r="B12" s="300" t="str">
        <f>Data!B10</f>
        <v>Starbucks</v>
      </c>
      <c r="C12" s="233"/>
      <c r="D12" s="233"/>
      <c r="E12" s="233"/>
      <c r="F12" s="233"/>
      <c r="G12" s="233"/>
      <c r="H12" s="233"/>
      <c r="I12" s="233"/>
      <c r="J12" s="52"/>
    </row>
    <row r="13" spans="1:18">
      <c r="A13" s="109"/>
      <c r="J13" s="52"/>
      <c r="K13" s="17" t="s">
        <v>239</v>
      </c>
    </row>
    <row r="14" spans="1:18" s="109" customFormat="1">
      <c r="J14" s="97"/>
      <c r="K14" s="17" t="s">
        <v>240</v>
      </c>
    </row>
    <row r="15" spans="1:18" s="109" customFormat="1">
      <c r="J15" s="97"/>
      <c r="K15" s="17" t="s">
        <v>241</v>
      </c>
    </row>
    <row r="16" spans="1:18">
      <c r="A16" s="301" t="s">
        <v>822</v>
      </c>
      <c r="B16" s="302"/>
      <c r="C16" s="302"/>
      <c r="D16" s="302"/>
      <c r="E16" s="302"/>
      <c r="F16" s="302"/>
      <c r="G16" s="302"/>
      <c r="H16" s="302"/>
      <c r="I16" s="302"/>
      <c r="J16" s="52"/>
    </row>
    <row r="17" spans="1:11">
      <c r="A17" s="109"/>
      <c r="B17" s="303"/>
      <c r="C17" s="303"/>
      <c r="D17" s="303"/>
      <c r="E17" s="303"/>
      <c r="F17" s="303"/>
      <c r="G17" s="303"/>
      <c r="H17" s="303"/>
      <c r="I17" s="303"/>
      <c r="J17" s="52"/>
    </row>
    <row r="18" spans="1:11">
      <c r="A18" s="109"/>
      <c r="B18" s="206" t="s">
        <v>477</v>
      </c>
      <c r="C18" s="207"/>
      <c r="D18" s="207"/>
      <c r="E18" s="208" t="s">
        <v>478</v>
      </c>
      <c r="F18" s="209"/>
      <c r="G18" s="209"/>
      <c r="H18" s="209"/>
      <c r="I18" s="209"/>
      <c r="J18" s="99"/>
    </row>
    <row r="19" spans="1:11">
      <c r="A19" s="109" t="s">
        <v>18</v>
      </c>
      <c r="B19" s="211">
        <f>Forecasts!B19</f>
        <v>2013</v>
      </c>
      <c r="C19" s="211">
        <f>Forecasts!C19</f>
        <v>2014</v>
      </c>
      <c r="D19" s="211">
        <f>Forecasts!D19</f>
        <v>2015</v>
      </c>
      <c r="E19" s="211" t="str">
        <f>Forecasts!E19</f>
        <v>Year +1</v>
      </c>
      <c r="F19" s="211" t="str">
        <f>Forecasts!F19</f>
        <v>Year +2</v>
      </c>
      <c r="G19" s="211" t="str">
        <f>Forecasts!G19</f>
        <v>Year +3</v>
      </c>
      <c r="H19" s="211" t="str">
        <f>Forecasts!H19</f>
        <v>Year +4</v>
      </c>
      <c r="I19" s="211" t="str">
        <f>Forecasts!I19</f>
        <v>Year +5</v>
      </c>
      <c r="J19" s="264"/>
    </row>
    <row r="20" spans="1:11">
      <c r="A20" s="109"/>
      <c r="B20" s="211"/>
      <c r="C20" s="211"/>
      <c r="D20" s="211"/>
      <c r="E20" s="211"/>
      <c r="F20" s="211"/>
      <c r="G20" s="211"/>
      <c r="H20" s="211"/>
      <c r="I20" s="211"/>
      <c r="J20" s="264"/>
    </row>
    <row r="21" spans="1:11">
      <c r="A21" s="97" t="s">
        <v>818</v>
      </c>
      <c r="B21" s="211"/>
      <c r="C21" s="211"/>
      <c r="D21" s="211"/>
      <c r="E21" s="211"/>
      <c r="F21" s="211"/>
      <c r="G21" s="211"/>
      <c r="H21" s="211"/>
      <c r="I21" s="211"/>
      <c r="J21" s="264"/>
    </row>
    <row r="22" spans="1:11">
      <c r="A22" s="97" t="s">
        <v>746</v>
      </c>
      <c r="B22" s="634">
        <f t="shared" ref="B22:C22" si="0">B32</f>
        <v>11802.699999999999</v>
      </c>
      <c r="C22" s="634">
        <f t="shared" si="0"/>
        <v>12982.999999999998</v>
      </c>
      <c r="D22" s="634">
        <f t="shared" ref="D22:I22" si="1">D32</f>
        <v>15203.200000000003</v>
      </c>
      <c r="E22" s="637">
        <f t="shared" si="1"/>
        <v>17134.99093578256</v>
      </c>
      <c r="F22" s="637">
        <f t="shared" si="1"/>
        <v>18671.308069289174</v>
      </c>
      <c r="G22" s="637">
        <f t="shared" si="1"/>
        <v>20701.812450626643</v>
      </c>
      <c r="H22" s="637">
        <f t="shared" si="1"/>
        <v>22917.544159009463</v>
      </c>
      <c r="I22" s="637">
        <f t="shared" si="1"/>
        <v>25333.988478683827</v>
      </c>
      <c r="J22" s="264"/>
    </row>
    <row r="23" spans="1:11">
      <c r="A23" s="97" t="s">
        <v>747</v>
      </c>
      <c r="B23" s="561">
        <f t="shared" ref="B23:C23" si="2">B39</f>
        <v>1351</v>
      </c>
      <c r="C23" s="561">
        <f t="shared" si="2"/>
        <v>1583.5000000000002</v>
      </c>
      <c r="D23" s="561">
        <f t="shared" ref="D23:I23" si="3">D39</f>
        <v>1856.0000000000002</v>
      </c>
      <c r="E23" s="638">
        <f t="shared" si="3"/>
        <v>2185.0083826177984</v>
      </c>
      <c r="F23" s="638">
        <f t="shared" si="3"/>
        <v>2453.9649585878938</v>
      </c>
      <c r="G23" s="638">
        <f t="shared" si="3"/>
        <v>2792.5957505110991</v>
      </c>
      <c r="H23" s="638">
        <f t="shared" si="3"/>
        <v>3162.0826496209129</v>
      </c>
      <c r="I23" s="638">
        <f t="shared" si="3"/>
        <v>3565.0296566468996</v>
      </c>
      <c r="J23" s="264"/>
    </row>
    <row r="24" spans="1:11">
      <c r="A24" s="97" t="s">
        <v>748</v>
      </c>
      <c r="B24" s="561">
        <f t="shared" ref="B24:C24" si="4">B46</f>
        <v>1713.1</v>
      </c>
      <c r="C24" s="561">
        <f t="shared" si="4"/>
        <v>1881.2999999999997</v>
      </c>
      <c r="D24" s="561">
        <f>D46</f>
        <v>2103.5</v>
      </c>
      <c r="E24" s="638">
        <f>E46</f>
        <v>2358.3471153846158</v>
      </c>
      <c r="F24" s="638">
        <f t="shared" ref="F24:I24" si="5">F46</f>
        <v>2545.2350000000006</v>
      </c>
      <c r="G24" s="638">
        <f t="shared" si="5"/>
        <v>2799.7585000000008</v>
      </c>
      <c r="H24" s="638">
        <f t="shared" si="5"/>
        <v>3079.7343500000011</v>
      </c>
      <c r="I24" s="638">
        <f t="shared" si="5"/>
        <v>3387.7077850000014</v>
      </c>
      <c r="J24" s="264"/>
    </row>
    <row r="25" spans="1:11" ht="13.5" thickBot="1">
      <c r="A25" s="109" t="s">
        <v>819</v>
      </c>
      <c r="B25" s="636">
        <f>SUM(B22:B24)</f>
        <v>14866.8</v>
      </c>
      <c r="C25" s="636">
        <f t="shared" ref="C25:I25" si="6">SUM(C22:C24)</f>
        <v>16447.8</v>
      </c>
      <c r="D25" s="636">
        <f t="shared" si="6"/>
        <v>19162.700000000004</v>
      </c>
      <c r="E25" s="639">
        <f>SUM(E22:E24)</f>
        <v>21678.346433784973</v>
      </c>
      <c r="F25" s="639">
        <f>SUM(F22:F24)</f>
        <v>23670.508027877069</v>
      </c>
      <c r="G25" s="639">
        <f t="shared" si="6"/>
        <v>26294.166701137743</v>
      </c>
      <c r="H25" s="639">
        <f t="shared" si="6"/>
        <v>29159.361158630378</v>
      </c>
      <c r="I25" s="639">
        <f t="shared" si="6"/>
        <v>32286.725920330729</v>
      </c>
      <c r="J25" s="304"/>
      <c r="K25" s="539" t="s">
        <v>823</v>
      </c>
    </row>
    <row r="26" spans="1:11" ht="13.5" thickTop="1">
      <c r="A26" s="17" t="s">
        <v>487</v>
      </c>
      <c r="B26" s="109"/>
      <c r="C26" s="227">
        <f t="shared" ref="C26:I26" si="7">C25/B25-1</f>
        <v>0.10634433771894414</v>
      </c>
      <c r="D26" s="227">
        <f t="shared" si="7"/>
        <v>0.16506158878391064</v>
      </c>
      <c r="E26" s="632">
        <f t="shared" si="7"/>
        <v>0.13127828718212808</v>
      </c>
      <c r="F26" s="632">
        <f t="shared" si="7"/>
        <v>9.1896381496486379E-2</v>
      </c>
      <c r="G26" s="632">
        <f t="shared" si="7"/>
        <v>0.11084082649053228</v>
      </c>
      <c r="H26" s="632">
        <f t="shared" si="7"/>
        <v>0.10896692373098316</v>
      </c>
      <c r="I26" s="632">
        <f t="shared" si="7"/>
        <v>0.10725079828351225</v>
      </c>
      <c r="J26" s="218"/>
    </row>
    <row r="27" spans="1:11">
      <c r="A27" s="109"/>
      <c r="D27" s="227"/>
      <c r="E27" s="661" t="s">
        <v>828</v>
      </c>
      <c r="F27" s="48"/>
      <c r="G27" s="48"/>
      <c r="H27" s="48"/>
      <c r="I27" s="48"/>
      <c r="J27" s="50"/>
    </row>
    <row r="28" spans="1:11">
      <c r="J28" s="50"/>
    </row>
    <row r="29" spans="1:11">
      <c r="A29" s="584" t="s">
        <v>876</v>
      </c>
      <c r="B29" s="575"/>
      <c r="C29" s="576"/>
      <c r="D29" s="575"/>
      <c r="E29" s="573" t="s">
        <v>825</v>
      </c>
      <c r="F29" s="574"/>
      <c r="G29" s="574"/>
      <c r="H29" s="574"/>
      <c r="I29" s="574"/>
    </row>
    <row r="30" spans="1:11">
      <c r="A30" s="585"/>
      <c r="B30" s="594">
        <f t="shared" ref="B30:I30" si="8">B19</f>
        <v>2013</v>
      </c>
      <c r="C30" s="594">
        <f t="shared" si="8"/>
        <v>2014</v>
      </c>
      <c r="D30" s="594">
        <f>D19</f>
        <v>2015</v>
      </c>
      <c r="E30" s="594" t="str">
        <f t="shared" si="8"/>
        <v>Year +1</v>
      </c>
      <c r="F30" s="594" t="str">
        <f t="shared" si="8"/>
        <v>Year +2</v>
      </c>
      <c r="G30" s="594" t="str">
        <f t="shared" si="8"/>
        <v>Year +3</v>
      </c>
      <c r="H30" s="594" t="str">
        <f t="shared" si="8"/>
        <v>Year +4</v>
      </c>
      <c r="I30" s="594" t="str">
        <f t="shared" si="8"/>
        <v>Year +5</v>
      </c>
    </row>
    <row r="31" spans="1:11">
      <c r="A31" s="583"/>
      <c r="B31" s="597"/>
      <c r="C31" s="597"/>
      <c r="D31" s="597"/>
      <c r="E31" s="597"/>
      <c r="F31" s="597"/>
      <c r="G31" s="597"/>
      <c r="H31" s="597"/>
      <c r="I31" s="597"/>
    </row>
    <row r="32" spans="1:11">
      <c r="A32" s="584" t="s">
        <v>746</v>
      </c>
      <c r="B32" s="640">
        <f t="shared" ref="B32:D32" si="9">B63</f>
        <v>11802.699999999999</v>
      </c>
      <c r="C32" s="640">
        <f t="shared" si="9"/>
        <v>12982.999999999998</v>
      </c>
      <c r="D32" s="640">
        <f t="shared" si="9"/>
        <v>15203.200000000003</v>
      </c>
      <c r="E32" s="641">
        <f>E63</f>
        <v>17134.99093578256</v>
      </c>
      <c r="F32" s="641">
        <f t="shared" ref="F32:I32" si="10">F63</f>
        <v>18671.308069289174</v>
      </c>
      <c r="G32" s="641">
        <f t="shared" si="10"/>
        <v>20701.812450626643</v>
      </c>
      <c r="H32" s="641">
        <f t="shared" si="10"/>
        <v>22917.544159009463</v>
      </c>
      <c r="I32" s="641">
        <f t="shared" si="10"/>
        <v>25333.988478683827</v>
      </c>
    </row>
    <row r="33" spans="1:12">
      <c r="A33" s="590" t="s">
        <v>749</v>
      </c>
      <c r="B33" s="590"/>
      <c r="C33" s="604">
        <f>C32/B32-1</f>
        <v>0.10000254179128509</v>
      </c>
      <c r="D33" s="604">
        <f t="shared" ref="D33:I33" si="11">D32/C32-1</f>
        <v>0.1710082415466383</v>
      </c>
      <c r="E33" s="604">
        <f t="shared" si="11"/>
        <v>0.12706475845759813</v>
      </c>
      <c r="F33" s="604">
        <f t="shared" si="11"/>
        <v>8.9659640863793078E-2</v>
      </c>
      <c r="G33" s="604">
        <f t="shared" si="11"/>
        <v>0.10874998011935055</v>
      </c>
      <c r="H33" s="604">
        <f t="shared" si="11"/>
        <v>0.10703080774532614</v>
      </c>
      <c r="I33" s="604">
        <f t="shared" si="11"/>
        <v>0.10544080565126346</v>
      </c>
    </row>
    <row r="34" spans="1:12">
      <c r="A34" s="590" t="s">
        <v>750</v>
      </c>
      <c r="B34" s="598">
        <f t="shared" ref="B34:I34" si="12">B95+B118+B142+B166</f>
        <v>10143</v>
      </c>
      <c r="C34" s="598">
        <f t="shared" si="12"/>
        <v>10713</v>
      </c>
      <c r="D34" s="598">
        <f t="shared" si="12"/>
        <v>12235</v>
      </c>
      <c r="E34" s="598">
        <f t="shared" si="12"/>
        <v>12885</v>
      </c>
      <c r="F34" s="598">
        <f t="shared" si="12"/>
        <v>13535</v>
      </c>
      <c r="G34" s="598">
        <f t="shared" si="12"/>
        <v>14185</v>
      </c>
      <c r="H34" s="598">
        <f t="shared" si="12"/>
        <v>14835</v>
      </c>
      <c r="I34" s="598">
        <f t="shared" si="12"/>
        <v>15485</v>
      </c>
    </row>
    <row r="35" spans="1:12">
      <c r="A35" s="590" t="s">
        <v>821</v>
      </c>
      <c r="B35" s="642">
        <v>1.0071914152480477</v>
      </c>
      <c r="C35" s="642">
        <f>C32/((B34+C34)/2)</f>
        <v>1.2450134253931719</v>
      </c>
      <c r="D35" s="642">
        <f>D32/((C34+D34)/2)</f>
        <v>1.3250130730346874</v>
      </c>
      <c r="E35" s="642">
        <f>E32/((D34+E34)/2)</f>
        <v>1.3642508706833247</v>
      </c>
      <c r="F35" s="642">
        <f t="shared" ref="F35:I35" si="13">F32/((E34+F34)/2)</f>
        <v>1.4134222611119738</v>
      </c>
      <c r="G35" s="642">
        <f t="shared" si="13"/>
        <v>1.4936372619499743</v>
      </c>
      <c r="H35" s="642">
        <f t="shared" si="13"/>
        <v>1.5794310240530298</v>
      </c>
      <c r="I35" s="642">
        <f t="shared" si="13"/>
        <v>1.6711074194382471</v>
      </c>
    </row>
    <row r="36" spans="1:12">
      <c r="A36" s="590" t="s">
        <v>829</v>
      </c>
      <c r="B36" s="603"/>
      <c r="C36" s="604">
        <f>C35/B35-1</f>
        <v>0.23612394480800281</v>
      </c>
      <c r="D36" s="604">
        <f t="shared" ref="D36:I36" si="14">D35/C35-1</f>
        <v>6.4256052191767887E-2</v>
      </c>
      <c r="E36" s="604">
        <f>E35/D35-1</f>
        <v>2.9613140011343964E-2</v>
      </c>
      <c r="F36" s="604">
        <f t="shared" si="14"/>
        <v>3.6042777384499791E-2</v>
      </c>
      <c r="G36" s="604">
        <f t="shared" si="14"/>
        <v>5.6752325929049219E-2</v>
      </c>
      <c r="H36" s="604">
        <f t="shared" si="14"/>
        <v>5.7439489686438305E-2</v>
      </c>
      <c r="I36" s="604">
        <f t="shared" si="14"/>
        <v>5.8043937335081175E-2</v>
      </c>
    </row>
    <row r="37" spans="1:12">
      <c r="A37" s="583"/>
      <c r="B37" s="597"/>
      <c r="C37" s="597"/>
      <c r="D37" s="597"/>
      <c r="E37" s="597"/>
      <c r="F37" s="597"/>
      <c r="G37" s="597"/>
      <c r="H37" s="597"/>
      <c r="I37" s="597"/>
    </row>
    <row r="38" spans="1:12">
      <c r="A38" s="583"/>
      <c r="B38" s="597"/>
      <c r="C38" s="597"/>
      <c r="D38" s="597"/>
      <c r="E38" s="597"/>
      <c r="F38" s="597"/>
      <c r="G38" s="597"/>
      <c r="H38" s="597"/>
      <c r="I38" s="597"/>
    </row>
    <row r="39" spans="1:12">
      <c r="A39" s="584" t="s">
        <v>751</v>
      </c>
      <c r="B39" s="640">
        <f t="shared" ref="B39:D39" si="15">B72</f>
        <v>1351</v>
      </c>
      <c r="C39" s="640">
        <f t="shared" si="15"/>
        <v>1583.5000000000002</v>
      </c>
      <c r="D39" s="640">
        <f t="shared" si="15"/>
        <v>1856.0000000000002</v>
      </c>
      <c r="E39" s="641">
        <f>E72</f>
        <v>2185.0083826177984</v>
      </c>
      <c r="F39" s="641">
        <f t="shared" ref="F39:I39" si="16">F72</f>
        <v>2453.9649585878938</v>
      </c>
      <c r="G39" s="641">
        <f t="shared" si="16"/>
        <v>2792.5957505110991</v>
      </c>
      <c r="H39" s="641">
        <f t="shared" si="16"/>
        <v>3162.0826496209129</v>
      </c>
      <c r="I39" s="641">
        <f t="shared" si="16"/>
        <v>3565.0296566468996</v>
      </c>
    </row>
    <row r="40" spans="1:12">
      <c r="A40" s="590" t="s">
        <v>749</v>
      </c>
      <c r="B40" s="590"/>
      <c r="C40" s="604">
        <f t="shared" ref="C40:I40" si="17">C39/B39-1</f>
        <v>0.17209474463360497</v>
      </c>
      <c r="D40" s="604">
        <f>D39/C39-1</f>
        <v>0.17208714872118724</v>
      </c>
      <c r="E40" s="604">
        <f t="shared" si="17"/>
        <v>0.17726744753114132</v>
      </c>
      <c r="F40" s="604">
        <f t="shared" si="17"/>
        <v>0.12309178221452211</v>
      </c>
      <c r="G40" s="604">
        <f t="shared" si="17"/>
        <v>0.13799332820060584</v>
      </c>
      <c r="H40" s="604">
        <f t="shared" si="17"/>
        <v>0.13230948268906828</v>
      </c>
      <c r="I40" s="604">
        <f t="shared" si="17"/>
        <v>0.12743089023125131</v>
      </c>
    </row>
    <row r="41" spans="1:12">
      <c r="A41" s="590" t="s">
        <v>826</v>
      </c>
      <c r="B41" s="599">
        <f t="shared" ref="B41:I41" si="18">B96+B119+B143+B167</f>
        <v>9624</v>
      </c>
      <c r="C41" s="599">
        <f t="shared" si="18"/>
        <v>10653</v>
      </c>
      <c r="D41" s="599">
        <f t="shared" si="18"/>
        <v>10808</v>
      </c>
      <c r="E41" s="599">
        <f t="shared" si="18"/>
        <v>11958</v>
      </c>
      <c r="F41" s="599">
        <f t="shared" si="18"/>
        <v>13108</v>
      </c>
      <c r="G41" s="599">
        <f t="shared" si="18"/>
        <v>14258</v>
      </c>
      <c r="H41" s="599">
        <f t="shared" si="18"/>
        <v>15408</v>
      </c>
      <c r="I41" s="599">
        <f t="shared" si="18"/>
        <v>16558</v>
      </c>
      <c r="J41" s="625"/>
      <c r="K41" s="625"/>
      <c r="L41" s="625"/>
    </row>
    <row r="42" spans="1:12">
      <c r="A42" s="590" t="s">
        <v>821</v>
      </c>
      <c r="B42" s="642">
        <v>0.11153306996304321</v>
      </c>
      <c r="C42" s="642">
        <f>C39/((C41+B41)/2)</f>
        <v>0.15618681264486858</v>
      </c>
      <c r="D42" s="642">
        <f t="shared" ref="D42:I42" si="19">D39/((D41+C41)/2)</f>
        <v>0.1729649130981781</v>
      </c>
      <c r="E42" s="642">
        <f t="shared" si="19"/>
        <v>0.19195364865306144</v>
      </c>
      <c r="F42" s="642">
        <f t="shared" si="19"/>
        <v>0.19580028393743668</v>
      </c>
      <c r="G42" s="642">
        <f t="shared" si="19"/>
        <v>0.20409235916912222</v>
      </c>
      <c r="H42" s="642">
        <f t="shared" si="19"/>
        <v>0.21317890174751655</v>
      </c>
      <c r="I42" s="642">
        <f t="shared" si="19"/>
        <v>0.22305134559512604</v>
      </c>
    </row>
    <row r="43" spans="1:12">
      <c r="A43" s="590" t="s">
        <v>829</v>
      </c>
      <c r="B43" s="600"/>
      <c r="C43" s="604">
        <f t="shared" ref="C43:I43" si="20">C42/B42-1</f>
        <v>0.40036325276997675</v>
      </c>
      <c r="D43" s="604">
        <f t="shared" si="20"/>
        <v>0.1074232847779466</v>
      </c>
      <c r="E43" s="604">
        <f t="shared" si="20"/>
        <v>0.10978374292654935</v>
      </c>
      <c r="F43" s="604">
        <f t="shared" si="20"/>
        <v>2.0039396548943378E-2</v>
      </c>
      <c r="G43" s="604">
        <f t="shared" si="20"/>
        <v>4.2349658871460472E-2</v>
      </c>
      <c r="H43" s="604">
        <f t="shared" si="20"/>
        <v>4.4521718575778246E-2</v>
      </c>
      <c r="I43" s="604">
        <f t="shared" si="20"/>
        <v>4.6310604692495039E-2</v>
      </c>
    </row>
    <row r="44" spans="1:12">
      <c r="A44" s="583"/>
      <c r="B44" s="597"/>
      <c r="C44" s="597"/>
      <c r="D44" s="597"/>
      <c r="E44" s="597"/>
      <c r="F44" s="597"/>
      <c r="G44" s="597"/>
      <c r="H44" s="597"/>
      <c r="I44" s="597"/>
    </row>
    <row r="45" spans="1:12">
      <c r="A45" s="583"/>
      <c r="B45" s="597"/>
      <c r="C45" s="597"/>
      <c r="D45" s="597"/>
      <c r="E45" s="597"/>
      <c r="F45" s="597"/>
      <c r="G45" s="597"/>
      <c r="H45" s="597"/>
      <c r="I45" s="597"/>
    </row>
    <row r="46" spans="1:12">
      <c r="A46" s="584" t="s">
        <v>752</v>
      </c>
      <c r="B46" s="640">
        <f t="shared" ref="B46:D46" si="21">B78</f>
        <v>1713.1</v>
      </c>
      <c r="C46" s="640">
        <f t="shared" si="21"/>
        <v>1881.2999999999997</v>
      </c>
      <c r="D46" s="640">
        <f t="shared" si="21"/>
        <v>2103.5</v>
      </c>
      <c r="E46" s="641">
        <f>E78</f>
        <v>2358.3471153846158</v>
      </c>
      <c r="F46" s="641">
        <f t="shared" ref="F46:I46" si="22">F78</f>
        <v>2545.2350000000006</v>
      </c>
      <c r="G46" s="641">
        <f t="shared" si="22"/>
        <v>2799.7585000000008</v>
      </c>
      <c r="H46" s="641">
        <f t="shared" si="22"/>
        <v>3079.7343500000011</v>
      </c>
      <c r="I46" s="641">
        <f t="shared" si="22"/>
        <v>3387.7077850000014</v>
      </c>
    </row>
    <row r="47" spans="1:12">
      <c r="A47" s="590" t="s">
        <v>749</v>
      </c>
      <c r="B47" s="590"/>
      <c r="C47" s="604">
        <f t="shared" ref="C47:I47" si="23">C46/B46-1</f>
        <v>9.8184577666219131E-2</v>
      </c>
      <c r="D47" s="604">
        <f t="shared" si="23"/>
        <v>0.11810981767926454</v>
      </c>
      <c r="E47" s="604">
        <f t="shared" si="23"/>
        <v>0.12115384615384639</v>
      </c>
      <c r="F47" s="604">
        <f t="shared" si="23"/>
        <v>7.9245283018867907E-2</v>
      </c>
      <c r="G47" s="604">
        <f t="shared" si="23"/>
        <v>0.10000000000000009</v>
      </c>
      <c r="H47" s="604">
        <f t="shared" si="23"/>
        <v>0.10000000000000009</v>
      </c>
      <c r="I47" s="604">
        <f t="shared" si="23"/>
        <v>0.10000000000000009</v>
      </c>
    </row>
    <row r="48" spans="1:12">
      <c r="A48" s="583"/>
      <c r="B48" s="593"/>
      <c r="C48" s="593"/>
      <c r="D48" s="593"/>
      <c r="E48" s="577"/>
      <c r="F48" s="577"/>
      <c r="G48" s="577"/>
      <c r="H48" s="577"/>
      <c r="I48" s="577"/>
    </row>
    <row r="49" spans="1:10">
      <c r="A49" s="583"/>
      <c r="B49" s="579"/>
      <c r="C49" s="580"/>
      <c r="D49" s="580"/>
      <c r="E49" s="581"/>
      <c r="F49" s="581"/>
      <c r="G49" s="581"/>
      <c r="H49" s="581"/>
      <c r="I49" s="581"/>
    </row>
    <row r="50" spans="1:10">
      <c r="A50" s="633" t="s">
        <v>17</v>
      </c>
      <c r="B50" s="707">
        <f>B32+B39+B46</f>
        <v>14866.8</v>
      </c>
      <c r="C50" s="707">
        <f t="shared" ref="C50:I50" si="24">C32+C39+C46</f>
        <v>16447.8</v>
      </c>
      <c r="D50" s="707">
        <f t="shared" si="24"/>
        <v>19162.700000000004</v>
      </c>
      <c r="E50" s="701">
        <f t="shared" si="24"/>
        <v>21678.346433784973</v>
      </c>
      <c r="F50" s="701">
        <f t="shared" si="24"/>
        <v>23670.508027877069</v>
      </c>
      <c r="G50" s="701">
        <f t="shared" si="24"/>
        <v>26294.166701137743</v>
      </c>
      <c r="H50" s="701">
        <f t="shared" si="24"/>
        <v>29159.361158630378</v>
      </c>
      <c r="I50" s="701">
        <f t="shared" si="24"/>
        <v>32286.725920330729</v>
      </c>
    </row>
    <row r="51" spans="1:10">
      <c r="A51" s="582"/>
      <c r="B51" s="582"/>
      <c r="C51" s="586"/>
      <c r="D51" s="586"/>
      <c r="E51" s="586"/>
      <c r="F51" s="567"/>
      <c r="G51" s="567"/>
      <c r="H51" s="567"/>
      <c r="I51" s="567"/>
      <c r="J51" s="567"/>
    </row>
    <row r="52" spans="1:10">
      <c r="A52" s="562"/>
      <c r="B52" s="563"/>
      <c r="C52" s="564"/>
      <c r="D52" s="564"/>
      <c r="E52" s="565"/>
      <c r="F52" s="565"/>
      <c r="G52" s="565"/>
      <c r="H52" s="565"/>
      <c r="I52" s="565"/>
      <c r="J52" s="50"/>
    </row>
    <row r="53" spans="1:10">
      <c r="A53" s="562"/>
      <c r="B53" s="563"/>
      <c r="C53" s="564"/>
      <c r="D53" s="564"/>
      <c r="E53" s="565"/>
      <c r="F53" s="565"/>
      <c r="G53" s="565"/>
      <c r="H53" s="565"/>
      <c r="I53" s="565"/>
      <c r="J53" s="50"/>
    </row>
    <row r="54" spans="1:10">
      <c r="A54" s="584" t="s">
        <v>862</v>
      </c>
      <c r="B54" s="702"/>
      <c r="C54" s="696"/>
      <c r="D54" s="696"/>
      <c r="E54" s="702"/>
      <c r="F54" s="702"/>
      <c r="G54" s="702"/>
      <c r="H54" s="702"/>
      <c r="I54" s="702"/>
      <c r="J54" s="696"/>
    </row>
    <row r="55" spans="1:10">
      <c r="A55" s="697"/>
      <c r="B55" s="698" t="s">
        <v>863</v>
      </c>
      <c r="C55" s="678"/>
      <c r="D55" s="678"/>
      <c r="E55" s="699" t="s">
        <v>864</v>
      </c>
      <c r="F55" s="706"/>
      <c r="G55" s="706"/>
      <c r="H55" s="706"/>
      <c r="I55" s="706"/>
      <c r="J55" s="696"/>
    </row>
    <row r="56" spans="1:10">
      <c r="A56" s="700" t="s">
        <v>865</v>
      </c>
      <c r="B56" s="695">
        <v>2013</v>
      </c>
      <c r="C56" s="695">
        <v>2014</v>
      </c>
      <c r="D56" s="695">
        <v>2015</v>
      </c>
      <c r="E56" s="695" t="s">
        <v>479</v>
      </c>
      <c r="F56" s="695" t="s">
        <v>480</v>
      </c>
      <c r="G56" s="695" t="s">
        <v>481</v>
      </c>
      <c r="H56" s="695" t="s">
        <v>482</v>
      </c>
      <c r="I56" s="695" t="s">
        <v>483</v>
      </c>
      <c r="J56" s="696"/>
    </row>
    <row r="57" spans="1:10">
      <c r="A57" s="590" t="s">
        <v>866</v>
      </c>
      <c r="B57" s="634">
        <f t="shared" ref="B57:C57" si="25">B100</f>
        <v>10038.299999999999</v>
      </c>
      <c r="C57" s="634">
        <f t="shared" si="25"/>
        <v>10866.5</v>
      </c>
      <c r="D57" s="634">
        <f>D100</f>
        <v>11925.6</v>
      </c>
      <c r="E57" s="643">
        <f t="shared" ref="E57:I57" si="26">E100</f>
        <v>13104.827031055902</v>
      </c>
      <c r="F57" s="643">
        <f t="shared" si="26"/>
        <v>14440.731261614908</v>
      </c>
      <c r="G57" s="643">
        <f t="shared" si="26"/>
        <v>15889.766622529196</v>
      </c>
      <c r="H57" s="643">
        <f t="shared" si="26"/>
        <v>17460.699594211383</v>
      </c>
      <c r="I57" s="643">
        <f t="shared" si="26"/>
        <v>19162.941362654328</v>
      </c>
      <c r="J57" s="696"/>
    </row>
    <row r="58" spans="1:10">
      <c r="A58" s="590" t="s">
        <v>867</v>
      </c>
      <c r="B58" s="634">
        <f t="shared" ref="B58:C58" si="27">B123</f>
        <v>671.7</v>
      </c>
      <c r="C58" s="634">
        <f t="shared" si="27"/>
        <v>859.4</v>
      </c>
      <c r="D58" s="634">
        <f>D123</f>
        <v>2127.3000000000002</v>
      </c>
      <c r="E58" s="643">
        <f t="shared" ref="E58:I58" si="28">E123</f>
        <v>2579.0119843239718</v>
      </c>
      <c r="F58" s="643">
        <f t="shared" si="28"/>
        <v>3077.7068689484004</v>
      </c>
      <c r="G58" s="643">
        <f t="shared" si="28"/>
        <v>3633.5818786970613</v>
      </c>
      <c r="H58" s="643">
        <f t="shared" si="28"/>
        <v>4252.1986261526881</v>
      </c>
      <c r="I58" s="643">
        <f t="shared" si="28"/>
        <v>4939.6171670464864</v>
      </c>
      <c r="J58" s="696"/>
    </row>
    <row r="59" spans="1:10">
      <c r="A59" s="590" t="s">
        <v>868</v>
      </c>
      <c r="B59" s="634">
        <f t="shared" ref="B59:C59" si="29">B147</f>
        <v>932.8</v>
      </c>
      <c r="C59" s="634">
        <f t="shared" si="29"/>
        <v>1013.8</v>
      </c>
      <c r="D59" s="634">
        <f>D147</f>
        <v>911.2</v>
      </c>
      <c r="E59" s="643">
        <f t="shared" ref="E59:I59" si="30">E147</f>
        <v>881.5772046332047</v>
      </c>
      <c r="F59" s="643">
        <f t="shared" si="30"/>
        <v>899.20874872586876</v>
      </c>
      <c r="G59" s="643">
        <f t="shared" si="30"/>
        <v>917.19292370038625</v>
      </c>
      <c r="H59" s="643">
        <f t="shared" si="30"/>
        <v>935.53678217439381</v>
      </c>
      <c r="I59" s="643">
        <f t="shared" si="30"/>
        <v>954.24751781788166</v>
      </c>
      <c r="J59" s="696"/>
    </row>
    <row r="60" spans="1:10">
      <c r="A60" s="590" t="s">
        <v>869</v>
      </c>
      <c r="B60" s="634">
        <f t="shared" ref="B60:C60" si="31">B170</f>
        <v>159.9</v>
      </c>
      <c r="C60" s="634">
        <f t="shared" si="31"/>
        <v>243.29999999999998</v>
      </c>
      <c r="D60" s="634">
        <f>D170</f>
        <v>239.1</v>
      </c>
      <c r="E60" s="643">
        <f t="shared" ref="E60:I60" si="32">E170</f>
        <v>246.273</v>
      </c>
      <c r="F60" s="643">
        <f t="shared" si="32"/>
        <v>253.66119</v>
      </c>
      <c r="G60" s="643">
        <f t="shared" si="32"/>
        <v>261.2710257</v>
      </c>
      <c r="H60" s="643">
        <f t="shared" si="32"/>
        <v>269.10915647100001</v>
      </c>
      <c r="I60" s="643">
        <f t="shared" si="32"/>
        <v>277.18243116513003</v>
      </c>
      <c r="J60" s="696"/>
    </row>
    <row r="61" spans="1:10">
      <c r="A61" s="590" t="s">
        <v>870</v>
      </c>
      <c r="B61" s="668">
        <f t="shared" ref="B61" si="33">SUM(B57:B60)</f>
        <v>11802.699999999999</v>
      </c>
      <c r="C61" s="668">
        <f t="shared" ref="C61" si="34">SUM(C57:C60)</f>
        <v>12982.999999999998</v>
      </c>
      <c r="D61" s="668">
        <f t="shared" ref="D61" si="35">SUM(D57:D60)</f>
        <v>15203.200000000003</v>
      </c>
      <c r="E61" s="701">
        <f t="shared" ref="E61" si="36">SUM(E57:E60)</f>
        <v>16811.689220013079</v>
      </c>
      <c r="F61" s="701">
        <f t="shared" ref="F61" si="37">SUM(F57:F60)</f>
        <v>18671.308069289174</v>
      </c>
      <c r="G61" s="701">
        <f t="shared" ref="G61" si="38">SUM(G57:G60)</f>
        <v>20701.812450626643</v>
      </c>
      <c r="H61" s="701">
        <f t="shared" ref="H61" si="39">SUM(H57:H60)</f>
        <v>22917.544159009463</v>
      </c>
      <c r="I61" s="701">
        <f t="shared" ref="I61" si="40">SUM(I57:I60)</f>
        <v>25333.988478683827</v>
      </c>
      <c r="J61" s="696"/>
    </row>
    <row r="62" spans="1:10">
      <c r="A62" s="702" t="s">
        <v>871</v>
      </c>
      <c r="B62" s="702"/>
      <c r="C62" s="702"/>
      <c r="D62" s="702"/>
      <c r="E62" s="703">
        <f>53/52</f>
        <v>1.0192307692307692</v>
      </c>
      <c r="F62" s="702"/>
      <c r="G62" s="702"/>
      <c r="H62" s="702"/>
      <c r="I62" s="702"/>
      <c r="J62" s="696"/>
    </row>
    <row r="63" spans="1:10">
      <c r="A63" s="702" t="s">
        <v>872</v>
      </c>
      <c r="B63" s="704">
        <f>B61</f>
        <v>11802.699999999999</v>
      </c>
      <c r="C63" s="704">
        <f t="shared" ref="C63:D63" si="41">C61</f>
        <v>12982.999999999998</v>
      </c>
      <c r="D63" s="704">
        <f t="shared" si="41"/>
        <v>15203.200000000003</v>
      </c>
      <c r="E63" s="701">
        <f>E61*E62</f>
        <v>17134.99093578256</v>
      </c>
      <c r="F63" s="701">
        <f>F61</f>
        <v>18671.308069289174</v>
      </c>
      <c r="G63" s="701">
        <f t="shared" ref="G63:I63" si="42">G61</f>
        <v>20701.812450626643</v>
      </c>
      <c r="H63" s="701">
        <f t="shared" si="42"/>
        <v>22917.544159009463</v>
      </c>
      <c r="I63" s="701">
        <f t="shared" si="42"/>
        <v>25333.988478683827</v>
      </c>
      <c r="J63" s="696"/>
    </row>
    <row r="64" spans="1:10">
      <c r="A64" s="702"/>
      <c r="B64" s="315"/>
      <c r="C64" s="315"/>
      <c r="D64" s="315"/>
      <c r="E64" s="315"/>
      <c r="F64" s="315"/>
      <c r="G64" s="315"/>
      <c r="H64" s="315"/>
      <c r="I64" s="315"/>
      <c r="J64" s="696"/>
    </row>
    <row r="65" spans="1:10">
      <c r="A65" s="582"/>
      <c r="B65" s="705"/>
      <c r="C65" s="705"/>
      <c r="D65" s="705"/>
      <c r="E65" s="705"/>
      <c r="F65" s="705"/>
      <c r="G65" s="705"/>
      <c r="H65" s="705"/>
      <c r="I65" s="705"/>
      <c r="J65" s="696"/>
    </row>
    <row r="66" spans="1:10">
      <c r="A66" s="700" t="s">
        <v>873</v>
      </c>
      <c r="B66" s="695">
        <f>B56</f>
        <v>2013</v>
      </c>
      <c r="C66" s="695">
        <f t="shared" ref="C66:I66" si="43">C56</f>
        <v>2014</v>
      </c>
      <c r="D66" s="695">
        <f t="shared" si="43"/>
        <v>2015</v>
      </c>
      <c r="E66" s="695" t="str">
        <f t="shared" si="43"/>
        <v>Year +1</v>
      </c>
      <c r="F66" s="695" t="str">
        <f t="shared" si="43"/>
        <v>Year +2</v>
      </c>
      <c r="G66" s="695" t="str">
        <f t="shared" si="43"/>
        <v>Year +3</v>
      </c>
      <c r="H66" s="695" t="str">
        <f t="shared" si="43"/>
        <v>Year +4</v>
      </c>
      <c r="I66" s="695" t="str">
        <f t="shared" si="43"/>
        <v>Year +5</v>
      </c>
      <c r="J66" s="696"/>
    </row>
    <row r="67" spans="1:10">
      <c r="A67" s="590" t="s">
        <v>866</v>
      </c>
      <c r="B67" s="634">
        <f t="shared" ref="B67:C67" si="44">B105</f>
        <v>915.4</v>
      </c>
      <c r="C67" s="634">
        <f t="shared" si="44"/>
        <v>1074.9000000000001</v>
      </c>
      <c r="D67" s="634">
        <f>D105</f>
        <v>1334.4</v>
      </c>
      <c r="E67" s="643">
        <f t="shared" ref="E67:I67" si="45">E105</f>
        <v>1495.8122816901412</v>
      </c>
      <c r="F67" s="643">
        <f t="shared" si="45"/>
        <v>1673.5499763380287</v>
      </c>
      <c r="G67" s="643">
        <f t="shared" si="45"/>
        <v>1867.231270129578</v>
      </c>
      <c r="H67" s="643">
        <f t="shared" si="45"/>
        <v>2078.1295392612965</v>
      </c>
      <c r="I67" s="643">
        <f t="shared" si="45"/>
        <v>2307.6135681163546</v>
      </c>
      <c r="J67" s="696"/>
    </row>
    <row r="68" spans="1:10">
      <c r="A68" s="590" t="s">
        <v>867</v>
      </c>
      <c r="B68" s="634">
        <f t="shared" ref="B68:C68" si="46">B128</f>
        <v>245.3</v>
      </c>
      <c r="C68" s="634">
        <f t="shared" si="46"/>
        <v>270.2</v>
      </c>
      <c r="D68" s="634">
        <f>D128</f>
        <v>264.39999999999998</v>
      </c>
      <c r="E68" s="643">
        <f t="shared" ref="E68:I68" si="47">E128</f>
        <v>340.95229564900785</v>
      </c>
      <c r="F68" s="643">
        <f t="shared" si="47"/>
        <v>430.94928075732753</v>
      </c>
      <c r="G68" s="643">
        <f t="shared" si="47"/>
        <v>531.87517753213194</v>
      </c>
      <c r="H68" s="643">
        <f t="shared" si="47"/>
        <v>644.81904837969785</v>
      </c>
      <c r="I68" s="643">
        <f t="shared" si="47"/>
        <v>770.9688727760157</v>
      </c>
      <c r="J68" s="696"/>
    </row>
    <row r="69" spans="1:10">
      <c r="A69" s="590" t="s">
        <v>868</v>
      </c>
      <c r="B69" s="634">
        <f t="shared" ref="B69:C69" si="48">B152</f>
        <v>190.3</v>
      </c>
      <c r="C69" s="634">
        <f t="shared" si="48"/>
        <v>238.4</v>
      </c>
      <c r="D69" s="634">
        <f>D152</f>
        <v>257.2</v>
      </c>
      <c r="E69" s="643">
        <f t="shared" ref="E69:I69" si="49">E152</f>
        <v>307.01723202170962</v>
      </c>
      <c r="F69" s="643">
        <f t="shared" si="49"/>
        <v>349.46570149253733</v>
      </c>
      <c r="G69" s="643">
        <f t="shared" si="49"/>
        <v>393.48930284938945</v>
      </c>
      <c r="H69" s="643">
        <f t="shared" si="49"/>
        <v>439.13406197991861</v>
      </c>
      <c r="I69" s="643">
        <f t="shared" si="49"/>
        <v>486.44721575452917</v>
      </c>
      <c r="J69" s="696"/>
    </row>
    <row r="70" spans="1:10">
      <c r="A70" s="590" t="s">
        <v>870</v>
      </c>
      <c r="B70" s="668">
        <f t="shared" ref="B70" si="50">SUM(B67:B69)</f>
        <v>1351</v>
      </c>
      <c r="C70" s="668">
        <f t="shared" ref="C70" si="51">SUM(C67:C69)</f>
        <v>1583.5000000000002</v>
      </c>
      <c r="D70" s="668">
        <f t="shared" ref="D70" si="52">SUM(D67:D69)</f>
        <v>1856.0000000000002</v>
      </c>
      <c r="E70" s="701">
        <f t="shared" ref="E70" si="53">SUM(E67:E69)</f>
        <v>2143.7818093608589</v>
      </c>
      <c r="F70" s="701">
        <f t="shared" ref="F70" si="54">SUM(F67:F69)</f>
        <v>2453.9649585878938</v>
      </c>
      <c r="G70" s="701">
        <f t="shared" ref="G70" si="55">SUM(G67:G69)</f>
        <v>2792.5957505110991</v>
      </c>
      <c r="H70" s="701">
        <f t="shared" ref="H70" si="56">SUM(H67:H69)</f>
        <v>3162.0826496209129</v>
      </c>
      <c r="I70" s="701">
        <f t="shared" ref="I70" si="57">SUM(I67:I69)</f>
        <v>3565.0296566468996</v>
      </c>
      <c r="J70" s="696"/>
    </row>
    <row r="71" spans="1:10">
      <c r="A71" s="702" t="s">
        <v>871</v>
      </c>
      <c r="B71" s="702"/>
      <c r="C71" s="702"/>
      <c r="D71" s="702"/>
      <c r="E71" s="703">
        <f>53/52</f>
        <v>1.0192307692307692</v>
      </c>
      <c r="F71" s="702"/>
      <c r="G71" s="702"/>
      <c r="H71" s="702"/>
      <c r="I71" s="702"/>
      <c r="J71" s="696"/>
    </row>
    <row r="72" spans="1:10">
      <c r="A72" s="702" t="s">
        <v>872</v>
      </c>
      <c r="B72" s="704">
        <f>B70</f>
        <v>1351</v>
      </c>
      <c r="C72" s="704">
        <f t="shared" ref="C72:D72" si="58">C70</f>
        <v>1583.5000000000002</v>
      </c>
      <c r="D72" s="704">
        <f t="shared" si="58"/>
        <v>1856.0000000000002</v>
      </c>
      <c r="E72" s="701">
        <f>E70*E71</f>
        <v>2185.0083826177984</v>
      </c>
      <c r="F72" s="701">
        <f>F70</f>
        <v>2453.9649585878938</v>
      </c>
      <c r="G72" s="701">
        <f t="shared" ref="G72:I72" si="59">G70</f>
        <v>2792.5957505110991</v>
      </c>
      <c r="H72" s="701">
        <f t="shared" si="59"/>
        <v>3162.0826496209129</v>
      </c>
      <c r="I72" s="701">
        <f t="shared" si="59"/>
        <v>3565.0296566468996</v>
      </c>
      <c r="J72" s="696"/>
    </row>
    <row r="73" spans="1:10">
      <c r="A73" s="702"/>
      <c r="B73" s="315"/>
      <c r="C73" s="315"/>
      <c r="D73" s="315"/>
      <c r="E73" s="315"/>
      <c r="F73" s="315"/>
      <c r="G73" s="315"/>
      <c r="H73" s="315"/>
      <c r="I73" s="315"/>
      <c r="J73" s="696"/>
    </row>
    <row r="74" spans="1:10">
      <c r="A74" s="702"/>
      <c r="B74" s="321"/>
      <c r="C74" s="321"/>
      <c r="D74" s="321"/>
      <c r="E74" s="321"/>
      <c r="F74" s="321"/>
      <c r="G74" s="321"/>
      <c r="H74" s="321"/>
      <c r="I74" s="321"/>
      <c r="J74" s="696"/>
    </row>
    <row r="75" spans="1:10">
      <c r="A75" s="700" t="s">
        <v>874</v>
      </c>
      <c r="B75" s="695">
        <f>B66</f>
        <v>2013</v>
      </c>
      <c r="C75" s="695">
        <f t="shared" ref="C75:I75" si="60">C66</f>
        <v>2014</v>
      </c>
      <c r="D75" s="695">
        <f t="shared" si="60"/>
        <v>2015</v>
      </c>
      <c r="E75" s="695" t="str">
        <f t="shared" si="60"/>
        <v>Year +1</v>
      </c>
      <c r="F75" s="695" t="str">
        <f t="shared" si="60"/>
        <v>Year +2</v>
      </c>
      <c r="G75" s="695" t="str">
        <f t="shared" si="60"/>
        <v>Year +3</v>
      </c>
      <c r="H75" s="695" t="str">
        <f t="shared" si="60"/>
        <v>Year +4</v>
      </c>
      <c r="I75" s="695" t="str">
        <f t="shared" si="60"/>
        <v>Year +5</v>
      </c>
      <c r="J75" s="696"/>
    </row>
    <row r="76" spans="1:10">
      <c r="A76" s="570" t="s">
        <v>760</v>
      </c>
      <c r="B76" s="634">
        <f t="shared" ref="B76:C76" si="61">B176</f>
        <v>1713.1</v>
      </c>
      <c r="C76" s="634">
        <f t="shared" si="61"/>
        <v>1881.2999999999997</v>
      </c>
      <c r="D76" s="634">
        <f>D176</f>
        <v>2103.5</v>
      </c>
      <c r="E76" s="643">
        <f t="shared" ref="E76:I76" si="62">E176</f>
        <v>2313.8500000000004</v>
      </c>
      <c r="F76" s="643">
        <f t="shared" si="62"/>
        <v>2545.2350000000006</v>
      </c>
      <c r="G76" s="643">
        <f t="shared" si="62"/>
        <v>2799.7585000000008</v>
      </c>
      <c r="H76" s="643">
        <f t="shared" si="62"/>
        <v>3079.7343500000011</v>
      </c>
      <c r="I76" s="643">
        <f t="shared" si="62"/>
        <v>3387.7077850000014</v>
      </c>
      <c r="J76" s="696"/>
    </row>
    <row r="77" spans="1:10">
      <c r="A77" s="702" t="s">
        <v>871</v>
      </c>
      <c r="B77" s="702"/>
      <c r="C77" s="702"/>
      <c r="D77" s="702"/>
      <c r="E77" s="703">
        <f>53/52</f>
        <v>1.0192307692307692</v>
      </c>
      <c r="F77" s="702"/>
      <c r="G77" s="702"/>
      <c r="H77" s="702"/>
      <c r="I77" s="702"/>
      <c r="J77" s="696"/>
    </row>
    <row r="78" spans="1:10">
      <c r="A78" s="702" t="s">
        <v>872</v>
      </c>
      <c r="B78" s="704">
        <f>B76</f>
        <v>1713.1</v>
      </c>
      <c r="C78" s="704">
        <f t="shared" ref="C78:D78" si="63">C76</f>
        <v>1881.2999999999997</v>
      </c>
      <c r="D78" s="704">
        <f t="shared" si="63"/>
        <v>2103.5</v>
      </c>
      <c r="E78" s="701">
        <f>E76*E77</f>
        <v>2358.3471153846158</v>
      </c>
      <c r="F78" s="701">
        <f>F76</f>
        <v>2545.2350000000006</v>
      </c>
      <c r="G78" s="701">
        <f t="shared" ref="G78:I78" si="64">G76</f>
        <v>2799.7585000000008</v>
      </c>
      <c r="H78" s="701">
        <f t="shared" si="64"/>
        <v>3079.7343500000011</v>
      </c>
      <c r="I78" s="701">
        <f t="shared" si="64"/>
        <v>3387.7077850000014</v>
      </c>
      <c r="J78" s="696"/>
    </row>
    <row r="79" spans="1:10">
      <c r="A79" s="702"/>
      <c r="B79" s="315"/>
      <c r="C79" s="315"/>
      <c r="D79" s="315"/>
      <c r="E79" s="315"/>
      <c r="F79" s="315"/>
      <c r="G79" s="315"/>
      <c r="H79" s="315"/>
      <c r="I79" s="315"/>
      <c r="J79" s="696"/>
    </row>
    <row r="80" spans="1:10">
      <c r="A80" s="702"/>
      <c r="B80" s="315"/>
      <c r="C80" s="315"/>
      <c r="D80" s="315"/>
      <c r="E80" s="315"/>
      <c r="F80" s="315"/>
      <c r="G80" s="315"/>
      <c r="H80" s="315"/>
      <c r="I80" s="315"/>
      <c r="J80" s="696"/>
    </row>
    <row r="81" spans="1:15">
      <c r="A81" s="702" t="s">
        <v>875</v>
      </c>
      <c r="B81" s="704">
        <f>B63+B72+B78</f>
        <v>14866.8</v>
      </c>
      <c r="C81" s="704">
        <f t="shared" ref="C81:D81" si="65">C63+C72+C78</f>
        <v>16447.8</v>
      </c>
      <c r="D81" s="704">
        <f t="shared" si="65"/>
        <v>19162.700000000004</v>
      </c>
      <c r="E81" s="701">
        <f>E63+E72+E78</f>
        <v>21678.346433784973</v>
      </c>
      <c r="F81" s="701">
        <f t="shared" ref="F81:I81" si="66">F63+F72+F78</f>
        <v>23670.508027877069</v>
      </c>
      <c r="G81" s="701">
        <f t="shared" si="66"/>
        <v>26294.166701137743</v>
      </c>
      <c r="H81" s="701">
        <f t="shared" si="66"/>
        <v>29159.361158630378</v>
      </c>
      <c r="I81" s="701">
        <f t="shared" si="66"/>
        <v>32286.725920330729</v>
      </c>
      <c r="J81" s="696"/>
    </row>
    <row r="82" spans="1:15">
      <c r="A82" s="678"/>
      <c r="B82" s="678"/>
      <c r="C82" s="678"/>
      <c r="D82" s="678"/>
      <c r="E82" s="678"/>
      <c r="F82" s="678"/>
      <c r="G82" s="678"/>
      <c r="H82" s="565"/>
      <c r="I82" s="565"/>
      <c r="J82" s="696"/>
    </row>
    <row r="83" spans="1:15">
      <c r="A83" s="562"/>
      <c r="B83" s="563"/>
      <c r="C83" s="564"/>
      <c r="D83" s="564"/>
      <c r="E83" s="565"/>
      <c r="F83" s="565"/>
      <c r="G83" s="565"/>
      <c r="H83" s="565"/>
      <c r="I83" s="565"/>
      <c r="J83" s="50"/>
    </row>
    <row r="84" spans="1:15">
      <c r="A84" s="567"/>
      <c r="B84" s="567"/>
      <c r="C84" s="567"/>
      <c r="D84" s="567"/>
      <c r="E84" s="571"/>
      <c r="F84" s="571"/>
      <c r="G84" s="572"/>
      <c r="H84" s="567"/>
      <c r="I84" s="567"/>
      <c r="J84" s="567"/>
    </row>
    <row r="85" spans="1:15">
      <c r="A85" s="587" t="s">
        <v>753</v>
      </c>
      <c r="B85" s="587"/>
      <c r="C85" s="587"/>
      <c r="D85" s="587"/>
      <c r="E85" s="573" t="s">
        <v>825</v>
      </c>
      <c r="F85" s="574"/>
      <c r="G85" s="574"/>
      <c r="H85" s="574"/>
      <c r="I85" s="574"/>
    </row>
    <row r="86" spans="1:15">
      <c r="A86" s="567"/>
      <c r="B86" s="588"/>
      <c r="C86" s="588"/>
      <c r="D86" s="588"/>
      <c r="E86" s="577"/>
      <c r="F86" s="577"/>
      <c r="G86" s="577"/>
      <c r="H86" s="577"/>
      <c r="I86" s="577"/>
    </row>
    <row r="87" spans="1:15">
      <c r="A87" s="595" t="s">
        <v>754</v>
      </c>
      <c r="B87" s="594">
        <f>B$19</f>
        <v>2013</v>
      </c>
      <c r="C87" s="594">
        <f t="shared" ref="C87:I87" si="67">C$19</f>
        <v>2014</v>
      </c>
      <c r="D87" s="594">
        <f t="shared" si="67"/>
        <v>2015</v>
      </c>
      <c r="E87" s="594" t="str">
        <f t="shared" si="67"/>
        <v>Year +1</v>
      </c>
      <c r="F87" s="594" t="str">
        <f t="shared" si="67"/>
        <v>Year +2</v>
      </c>
      <c r="G87" s="594" t="str">
        <f t="shared" si="67"/>
        <v>Year +3</v>
      </c>
      <c r="H87" s="594" t="str">
        <f t="shared" si="67"/>
        <v>Year +4</v>
      </c>
      <c r="I87" s="594" t="str">
        <f t="shared" si="67"/>
        <v>Year +5</v>
      </c>
    </row>
    <row r="88" spans="1:15">
      <c r="A88" s="583"/>
      <c r="B88" s="589"/>
      <c r="C88" s="589"/>
      <c r="D88" s="589"/>
      <c r="F88" s="589"/>
      <c r="G88" s="567"/>
      <c r="H88" s="567"/>
      <c r="I88" s="567"/>
    </row>
    <row r="89" spans="1:15">
      <c r="A89" s="583" t="s">
        <v>756</v>
      </c>
      <c r="B89" s="589"/>
      <c r="C89" s="589"/>
      <c r="D89" s="589"/>
      <c r="E89" s="569" t="s">
        <v>755</v>
      </c>
      <c r="F89" s="589"/>
      <c r="G89" s="567"/>
      <c r="H89" s="567"/>
      <c r="I89" s="567"/>
      <c r="M89" s="617"/>
      <c r="N89" s="617"/>
      <c r="O89" s="617"/>
    </row>
    <row r="90" spans="1:15">
      <c r="A90" s="590" t="s">
        <v>757</v>
      </c>
      <c r="B90" s="589">
        <v>276</v>
      </c>
      <c r="C90" s="589">
        <v>317</v>
      </c>
      <c r="D90" s="589">
        <v>276</v>
      </c>
      <c r="E90" s="569">
        <v>350</v>
      </c>
      <c r="F90" s="569">
        <v>350</v>
      </c>
      <c r="G90" s="569">
        <v>350</v>
      </c>
      <c r="H90" s="569">
        <v>350</v>
      </c>
      <c r="I90" s="569">
        <v>350</v>
      </c>
      <c r="M90" s="617"/>
      <c r="N90" s="617"/>
      <c r="O90" s="617"/>
    </row>
    <row r="91" spans="1:15">
      <c r="A91" s="590" t="s">
        <v>758</v>
      </c>
      <c r="B91" s="591">
        <v>404</v>
      </c>
      <c r="C91" s="591">
        <v>381</v>
      </c>
      <c r="D91" s="591">
        <v>336</v>
      </c>
      <c r="E91" s="578">
        <v>350</v>
      </c>
      <c r="F91" s="578">
        <v>350</v>
      </c>
      <c r="G91" s="578">
        <v>350</v>
      </c>
      <c r="H91" s="578">
        <v>350</v>
      </c>
      <c r="I91" s="578">
        <v>350</v>
      </c>
      <c r="M91" s="617"/>
      <c r="N91" s="617"/>
      <c r="O91" s="617"/>
    </row>
    <row r="92" spans="1:15">
      <c r="A92" s="590" t="s">
        <v>71</v>
      </c>
      <c r="B92" s="589">
        <f t="shared" ref="B92:I92" si="68">B90+B91</f>
        <v>680</v>
      </c>
      <c r="C92" s="589">
        <f t="shared" si="68"/>
        <v>698</v>
      </c>
      <c r="D92" s="589">
        <f t="shared" si="68"/>
        <v>612</v>
      </c>
      <c r="E92" s="589">
        <f t="shared" si="68"/>
        <v>700</v>
      </c>
      <c r="F92" s="589">
        <f t="shared" si="68"/>
        <v>700</v>
      </c>
      <c r="G92" s="589">
        <f t="shared" si="68"/>
        <v>700</v>
      </c>
      <c r="H92" s="589">
        <f t="shared" si="68"/>
        <v>700</v>
      </c>
      <c r="I92" s="589">
        <f t="shared" si="68"/>
        <v>700</v>
      </c>
      <c r="M92" s="617"/>
      <c r="N92" s="617"/>
      <c r="O92" s="617"/>
    </row>
    <row r="93" spans="1:15">
      <c r="A93" s="567"/>
      <c r="B93" s="589"/>
      <c r="C93" s="589"/>
      <c r="D93" s="589"/>
      <c r="E93" s="589"/>
      <c r="F93" s="589"/>
      <c r="G93" s="589"/>
      <c r="H93" s="589"/>
      <c r="I93" s="589"/>
      <c r="M93" s="617"/>
      <c r="N93" s="617"/>
      <c r="O93" s="617"/>
    </row>
    <row r="94" spans="1:15">
      <c r="A94" s="568" t="s">
        <v>759</v>
      </c>
      <c r="B94" s="589"/>
      <c r="C94" s="589"/>
      <c r="D94" s="589"/>
      <c r="E94" s="589"/>
      <c r="F94" s="589"/>
      <c r="G94" s="589"/>
      <c r="H94" s="589"/>
      <c r="I94" s="589"/>
      <c r="M94" s="623"/>
      <c r="N94" s="623"/>
      <c r="O94" s="623"/>
    </row>
    <row r="95" spans="1:15">
      <c r="A95" s="590" t="s">
        <v>757</v>
      </c>
      <c r="B95" s="589">
        <v>8078</v>
      </c>
      <c r="C95" s="589">
        <v>8395</v>
      </c>
      <c r="D95" s="589">
        <v>8671</v>
      </c>
      <c r="E95" s="592">
        <f t="shared" ref="E95:I96" si="69">D95+E90</f>
        <v>9021</v>
      </c>
      <c r="F95" s="592">
        <f t="shared" si="69"/>
        <v>9371</v>
      </c>
      <c r="G95" s="592">
        <f t="shared" si="69"/>
        <v>9721</v>
      </c>
      <c r="H95" s="592">
        <f t="shared" si="69"/>
        <v>10071</v>
      </c>
      <c r="I95" s="592">
        <f t="shared" si="69"/>
        <v>10421</v>
      </c>
      <c r="M95" s="628"/>
      <c r="N95" s="626"/>
      <c r="O95" s="626"/>
    </row>
    <row r="96" spans="1:15">
      <c r="A96" s="590" t="s">
        <v>758</v>
      </c>
      <c r="B96" s="591">
        <v>5415</v>
      </c>
      <c r="C96" s="591">
        <v>5796</v>
      </c>
      <c r="D96" s="591">
        <v>6132</v>
      </c>
      <c r="E96" s="591">
        <f t="shared" si="69"/>
        <v>6482</v>
      </c>
      <c r="F96" s="591">
        <f t="shared" si="69"/>
        <v>6832</v>
      </c>
      <c r="G96" s="591">
        <f t="shared" si="69"/>
        <v>7182</v>
      </c>
      <c r="H96" s="591">
        <f t="shared" si="69"/>
        <v>7532</v>
      </c>
      <c r="I96" s="591">
        <f t="shared" si="69"/>
        <v>7882</v>
      </c>
      <c r="M96" s="617"/>
      <c r="N96" s="86"/>
      <c r="O96" s="86"/>
    </row>
    <row r="97" spans="1:15">
      <c r="A97" s="590" t="s">
        <v>71</v>
      </c>
      <c r="B97" s="589">
        <f t="shared" ref="B97:I97" si="70">B95+B96</f>
        <v>13493</v>
      </c>
      <c r="C97" s="589">
        <f t="shared" si="70"/>
        <v>14191</v>
      </c>
      <c r="D97" s="589">
        <f t="shared" si="70"/>
        <v>14803</v>
      </c>
      <c r="E97" s="589">
        <f t="shared" si="70"/>
        <v>15503</v>
      </c>
      <c r="F97" s="589">
        <f t="shared" si="70"/>
        <v>16203</v>
      </c>
      <c r="G97" s="589">
        <f t="shared" si="70"/>
        <v>16903</v>
      </c>
      <c r="H97" s="589">
        <f t="shared" si="70"/>
        <v>17603</v>
      </c>
      <c r="I97" s="589">
        <f t="shared" si="70"/>
        <v>18303</v>
      </c>
      <c r="M97" s="617"/>
      <c r="N97" s="617"/>
      <c r="O97" s="617"/>
    </row>
    <row r="98" spans="1:15">
      <c r="A98" s="567"/>
      <c r="B98" s="589"/>
      <c r="C98" s="589"/>
      <c r="D98" s="589"/>
      <c r="E98" s="589"/>
      <c r="F98" s="589"/>
      <c r="G98" s="589"/>
      <c r="H98" s="589"/>
      <c r="I98" s="589"/>
      <c r="M98" s="617"/>
      <c r="N98" s="617"/>
      <c r="O98" s="617"/>
    </row>
    <row r="99" spans="1:15">
      <c r="A99" s="568" t="s">
        <v>760</v>
      </c>
      <c r="B99" s="589"/>
      <c r="C99" s="589"/>
      <c r="D99" s="589"/>
      <c r="E99" s="589"/>
      <c r="F99" s="589"/>
      <c r="G99" s="589"/>
      <c r="H99" s="589"/>
      <c r="I99" s="589"/>
      <c r="M99" s="623"/>
      <c r="N99" s="623"/>
      <c r="O99" s="623"/>
    </row>
    <row r="100" spans="1:15">
      <c r="A100" s="590" t="s">
        <v>757</v>
      </c>
      <c r="B100" s="634">
        <v>10038.299999999999</v>
      </c>
      <c r="C100" s="634">
        <v>10866.5</v>
      </c>
      <c r="D100" s="634">
        <v>11925.6</v>
      </c>
      <c r="E100" s="643">
        <f>E101*((D95+E95)/2)</f>
        <v>13104.827031055902</v>
      </c>
      <c r="F100" s="643">
        <f>F101*((E95+F95)/2)</f>
        <v>14440.731261614908</v>
      </c>
      <c r="G100" s="643">
        <f>G101*((F95+G95)/2)</f>
        <v>15889.766622529196</v>
      </c>
      <c r="H100" s="643">
        <f>H101*((G95+H95)/2)</f>
        <v>17460.699594211383</v>
      </c>
      <c r="I100" s="643">
        <f>I101*((H95+I95)/2)</f>
        <v>19162.941362654328</v>
      </c>
      <c r="M100" s="628"/>
      <c r="N100" s="626"/>
      <c r="O100" s="626"/>
    </row>
    <row r="101" spans="1:15">
      <c r="A101" s="570" t="s">
        <v>761</v>
      </c>
      <c r="B101" s="644">
        <v>1.2642695214105792</v>
      </c>
      <c r="C101" s="645">
        <f t="shared" ref="C101" si="71">C100/((B95+C95)/2)</f>
        <v>1.3193103866933771</v>
      </c>
      <c r="D101" s="645">
        <f>D100/((C95+D95)/2)</f>
        <v>1.3975858431969999</v>
      </c>
      <c r="E101" s="645">
        <f>D101*(1+E102)</f>
        <v>1.48144099378882</v>
      </c>
      <c r="F101" s="645">
        <f>E101*(1+F102)</f>
        <v>1.5703274534161493</v>
      </c>
      <c r="G101" s="645">
        <f>F101*(1+G102)</f>
        <v>1.6645471006211183</v>
      </c>
      <c r="H101" s="645">
        <f>G101*(1+H102)</f>
        <v>1.7644199266583855</v>
      </c>
      <c r="I101" s="645">
        <f>H101*(1+I102)</f>
        <v>1.8702851222578887</v>
      </c>
      <c r="M101" s="617"/>
      <c r="N101" s="86"/>
      <c r="O101" s="86"/>
    </row>
    <row r="102" spans="1:15">
      <c r="A102" s="590" t="s">
        <v>762</v>
      </c>
      <c r="B102" s="589"/>
      <c r="C102" s="627">
        <f>C101/B101-1</f>
        <v>4.3535705283306525E-2</v>
      </c>
      <c r="D102" s="627">
        <f>D101/C101-1</f>
        <v>5.9330584594127656E-2</v>
      </c>
      <c r="E102" s="605">
        <v>0.06</v>
      </c>
      <c r="F102" s="605">
        <v>0.06</v>
      </c>
      <c r="G102" s="605">
        <v>0.06</v>
      </c>
      <c r="H102" s="605">
        <v>0.06</v>
      </c>
      <c r="I102" s="605">
        <v>0.06</v>
      </c>
      <c r="M102" s="52"/>
      <c r="N102" s="52"/>
      <c r="O102" s="52"/>
    </row>
    <row r="103" spans="1:15">
      <c r="A103" s="567"/>
      <c r="B103" s="589"/>
      <c r="C103" s="589"/>
      <c r="D103" s="589"/>
      <c r="E103" s="601"/>
      <c r="F103" s="601"/>
      <c r="G103" s="601"/>
      <c r="H103" s="601"/>
      <c r="I103" s="601"/>
    </row>
    <row r="104" spans="1:15">
      <c r="A104" s="567"/>
      <c r="B104" s="589"/>
      <c r="C104" s="589"/>
      <c r="D104" s="589"/>
      <c r="E104" s="601"/>
      <c r="F104" s="601"/>
      <c r="G104" s="601"/>
      <c r="H104" s="601"/>
      <c r="I104" s="601"/>
    </row>
    <row r="105" spans="1:15">
      <c r="A105" s="590" t="s">
        <v>758</v>
      </c>
      <c r="B105" s="634">
        <v>915.4</v>
      </c>
      <c r="C105" s="634">
        <v>1074.9000000000001</v>
      </c>
      <c r="D105" s="634">
        <v>1334.4</v>
      </c>
      <c r="E105" s="643">
        <f>E106*((D96+E96)/2)</f>
        <v>1495.8122816901412</v>
      </c>
      <c r="F105" s="643">
        <f>F106*((E96+F96)/2)</f>
        <v>1673.5499763380287</v>
      </c>
      <c r="G105" s="643">
        <f>G106*((F96+G96)/2)</f>
        <v>1867.231270129578</v>
      </c>
      <c r="H105" s="643">
        <f>H106*((G96+H96)/2)</f>
        <v>2078.1295392612965</v>
      </c>
      <c r="I105" s="643">
        <f>I106*((H96+I96)/2)</f>
        <v>2307.6135681163546</v>
      </c>
    </row>
    <row r="106" spans="1:15">
      <c r="A106" s="570" t="s">
        <v>761</v>
      </c>
      <c r="B106" s="644">
        <v>0.17559946288125838</v>
      </c>
      <c r="C106" s="645">
        <f t="shared" ref="C106" si="72">C105/((B96+C96)/2)</f>
        <v>0.19175809472839178</v>
      </c>
      <c r="D106" s="645">
        <f>D105/((C96+D96)/2)</f>
        <v>0.22374245472837023</v>
      </c>
      <c r="E106" s="644">
        <f>D106*(1+E107)</f>
        <v>0.23716700201207247</v>
      </c>
      <c r="F106" s="644">
        <f>E106*(1+F107)</f>
        <v>0.25139702213279685</v>
      </c>
      <c r="G106" s="644">
        <f>F106*(1+G107)</f>
        <v>0.26648084346076467</v>
      </c>
      <c r="H106" s="644">
        <f>G106*(1+H107)</f>
        <v>0.28246969406841055</v>
      </c>
      <c r="I106" s="644">
        <f>H106*(1+I107)</f>
        <v>0.29941787571251521</v>
      </c>
    </row>
    <row r="107" spans="1:15">
      <c r="A107" s="590" t="s">
        <v>762</v>
      </c>
      <c r="B107" s="627"/>
      <c r="C107" s="627">
        <f t="shared" ref="C107" si="73">C106/B106-1</f>
        <v>9.2019825015410062E-2</v>
      </c>
      <c r="D107" s="627">
        <f>D106/C106-1</f>
        <v>0.16679535768897491</v>
      </c>
      <c r="E107" s="605">
        <f>E102</f>
        <v>0.06</v>
      </c>
      <c r="F107" s="605">
        <f>F102</f>
        <v>0.06</v>
      </c>
      <c r="G107" s="605">
        <f>G102</f>
        <v>0.06</v>
      </c>
      <c r="H107" s="605">
        <f>H102</f>
        <v>0.06</v>
      </c>
      <c r="I107" s="605">
        <f>I102</f>
        <v>0.06</v>
      </c>
    </row>
    <row r="108" spans="1:15">
      <c r="A108" s="567"/>
      <c r="B108" s="589"/>
      <c r="C108" s="589"/>
      <c r="D108" s="589"/>
      <c r="E108" s="569"/>
      <c r="F108" s="569"/>
      <c r="G108" s="569"/>
      <c r="H108" s="569"/>
      <c r="I108" s="569"/>
    </row>
    <row r="109" spans="1:15">
      <c r="A109" s="567"/>
      <c r="B109" s="567"/>
      <c r="C109" s="589"/>
      <c r="D109" s="589"/>
      <c r="E109" s="589"/>
      <c r="F109" s="569"/>
      <c r="G109" s="569"/>
      <c r="H109" s="569"/>
      <c r="I109" s="569"/>
      <c r="J109" s="569"/>
    </row>
    <row r="110" spans="1:15">
      <c r="A110" s="595" t="s">
        <v>764</v>
      </c>
      <c r="B110" s="594">
        <f>B$19</f>
        <v>2013</v>
      </c>
      <c r="C110" s="594">
        <f t="shared" ref="C110:I110" si="74">C$19</f>
        <v>2014</v>
      </c>
      <c r="D110" s="594">
        <f t="shared" si="74"/>
        <v>2015</v>
      </c>
      <c r="E110" s="594" t="str">
        <f t="shared" si="74"/>
        <v>Year +1</v>
      </c>
      <c r="F110" s="594" t="str">
        <f t="shared" si="74"/>
        <v>Year +2</v>
      </c>
      <c r="G110" s="594" t="str">
        <f t="shared" si="74"/>
        <v>Year +3</v>
      </c>
      <c r="H110" s="594" t="str">
        <f t="shared" si="74"/>
        <v>Year +4</v>
      </c>
      <c r="I110" s="594" t="str">
        <f t="shared" si="74"/>
        <v>Year +5</v>
      </c>
    </row>
    <row r="111" spans="1:15">
      <c r="A111" s="583"/>
      <c r="B111" s="589"/>
      <c r="C111" s="589"/>
      <c r="D111" s="589"/>
      <c r="F111" s="589"/>
      <c r="G111" s="567"/>
      <c r="H111" s="567"/>
      <c r="I111" s="567"/>
    </row>
    <row r="112" spans="1:15">
      <c r="A112" s="583" t="s">
        <v>756</v>
      </c>
      <c r="B112" s="589"/>
      <c r="C112" s="589"/>
      <c r="D112" s="589"/>
      <c r="E112" s="569" t="s">
        <v>755</v>
      </c>
      <c r="F112" s="589"/>
      <c r="G112" s="567"/>
      <c r="H112" s="567"/>
      <c r="I112" s="567"/>
    </row>
    <row r="113" spans="1:9">
      <c r="A113" s="590" t="s">
        <v>757</v>
      </c>
      <c r="B113" s="589">
        <v>239</v>
      </c>
      <c r="C113" s="589">
        <v>250</v>
      </c>
      <c r="D113" s="589">
        <v>1320</v>
      </c>
      <c r="E113" s="569">
        <v>300</v>
      </c>
      <c r="F113" s="569">
        <v>300</v>
      </c>
      <c r="G113" s="569">
        <v>300</v>
      </c>
      <c r="H113" s="569">
        <v>300</v>
      </c>
      <c r="I113" s="569">
        <v>300</v>
      </c>
    </row>
    <row r="114" spans="1:9">
      <c r="A114" s="590" t="s">
        <v>758</v>
      </c>
      <c r="B114" s="591">
        <v>349</v>
      </c>
      <c r="C114" s="591">
        <v>492</v>
      </c>
      <c r="D114" s="591">
        <v>-482</v>
      </c>
      <c r="E114" s="578">
        <v>600</v>
      </c>
      <c r="F114" s="578">
        <v>600</v>
      </c>
      <c r="G114" s="578">
        <v>600</v>
      </c>
      <c r="H114" s="578">
        <v>600</v>
      </c>
      <c r="I114" s="578">
        <v>600</v>
      </c>
    </row>
    <row r="115" spans="1:9">
      <c r="A115" s="590" t="s">
        <v>71</v>
      </c>
      <c r="B115" s="589">
        <f t="shared" ref="B115:I115" si="75">B113+B114</f>
        <v>588</v>
      </c>
      <c r="C115" s="589">
        <f t="shared" si="75"/>
        <v>742</v>
      </c>
      <c r="D115" s="589">
        <f t="shared" si="75"/>
        <v>838</v>
      </c>
      <c r="E115" s="589">
        <f t="shared" si="75"/>
        <v>900</v>
      </c>
      <c r="F115" s="589">
        <f t="shared" si="75"/>
        <v>900</v>
      </c>
      <c r="G115" s="589">
        <f t="shared" si="75"/>
        <v>900</v>
      </c>
      <c r="H115" s="589">
        <f t="shared" si="75"/>
        <v>900</v>
      </c>
      <c r="I115" s="589">
        <f t="shared" si="75"/>
        <v>900</v>
      </c>
    </row>
    <row r="116" spans="1:9">
      <c r="A116" s="567"/>
      <c r="B116" s="589"/>
      <c r="C116" s="589"/>
      <c r="D116" s="589"/>
      <c r="E116" s="589"/>
      <c r="F116" s="589"/>
      <c r="G116" s="589"/>
      <c r="H116" s="589"/>
      <c r="I116" s="589"/>
    </row>
    <row r="117" spans="1:9">
      <c r="A117" s="568" t="s">
        <v>759</v>
      </c>
      <c r="B117" s="589"/>
      <c r="C117" s="589"/>
      <c r="D117" s="589"/>
      <c r="E117" s="589"/>
      <c r="F117" s="589"/>
      <c r="G117" s="589"/>
      <c r="H117" s="589"/>
      <c r="I117" s="589"/>
    </row>
    <row r="118" spans="1:9">
      <c r="A118" s="590" t="s">
        <v>757</v>
      </c>
      <c r="B118" s="589">
        <v>882</v>
      </c>
      <c r="C118" s="589">
        <v>1132</v>
      </c>
      <c r="D118" s="589">
        <v>2452</v>
      </c>
      <c r="E118" s="592">
        <f t="shared" ref="E118:I119" si="76">D118+E113</f>
        <v>2752</v>
      </c>
      <c r="F118" s="592">
        <f t="shared" si="76"/>
        <v>3052</v>
      </c>
      <c r="G118" s="592">
        <f t="shared" si="76"/>
        <v>3352</v>
      </c>
      <c r="H118" s="592">
        <f t="shared" si="76"/>
        <v>3652</v>
      </c>
      <c r="I118" s="592">
        <f t="shared" si="76"/>
        <v>3952</v>
      </c>
    </row>
    <row r="119" spans="1:9">
      <c r="A119" s="590" t="s">
        <v>758</v>
      </c>
      <c r="B119" s="591">
        <v>3000</v>
      </c>
      <c r="C119" s="591">
        <v>3492</v>
      </c>
      <c r="D119" s="591">
        <v>3010</v>
      </c>
      <c r="E119" s="591">
        <f t="shared" si="76"/>
        <v>3610</v>
      </c>
      <c r="F119" s="591">
        <f t="shared" si="76"/>
        <v>4210</v>
      </c>
      <c r="G119" s="591">
        <f t="shared" si="76"/>
        <v>4810</v>
      </c>
      <c r="H119" s="591">
        <f t="shared" si="76"/>
        <v>5410</v>
      </c>
      <c r="I119" s="591">
        <f t="shared" si="76"/>
        <v>6010</v>
      </c>
    </row>
    <row r="120" spans="1:9">
      <c r="A120" s="590" t="s">
        <v>71</v>
      </c>
      <c r="B120" s="589">
        <f t="shared" ref="B120:I120" si="77">B118+B119</f>
        <v>3882</v>
      </c>
      <c r="C120" s="589">
        <f t="shared" si="77"/>
        <v>4624</v>
      </c>
      <c r="D120" s="589">
        <f t="shared" si="77"/>
        <v>5462</v>
      </c>
      <c r="E120" s="589">
        <f t="shared" si="77"/>
        <v>6362</v>
      </c>
      <c r="F120" s="589">
        <f t="shared" si="77"/>
        <v>7262</v>
      </c>
      <c r="G120" s="589">
        <f t="shared" si="77"/>
        <v>8162</v>
      </c>
      <c r="H120" s="589">
        <f t="shared" si="77"/>
        <v>9062</v>
      </c>
      <c r="I120" s="589">
        <f t="shared" si="77"/>
        <v>9962</v>
      </c>
    </row>
    <row r="121" spans="1:9">
      <c r="A121" s="567"/>
      <c r="B121" s="589"/>
      <c r="C121" s="589"/>
      <c r="D121" s="589"/>
      <c r="E121" s="589"/>
      <c r="F121" s="589"/>
      <c r="G121" s="589"/>
      <c r="H121" s="589"/>
      <c r="I121" s="589"/>
    </row>
    <row r="122" spans="1:9">
      <c r="A122" s="568" t="s">
        <v>760</v>
      </c>
      <c r="B122" s="589"/>
      <c r="C122" s="589"/>
      <c r="D122" s="589"/>
      <c r="E122" s="589"/>
      <c r="F122" s="589"/>
      <c r="G122" s="589"/>
      <c r="H122" s="589"/>
      <c r="I122" s="589"/>
    </row>
    <row r="123" spans="1:9">
      <c r="A123" s="590" t="s">
        <v>757</v>
      </c>
      <c r="B123" s="634">
        <v>671.7</v>
      </c>
      <c r="C123" s="634">
        <v>859.4</v>
      </c>
      <c r="D123" s="634">
        <v>2127.3000000000002</v>
      </c>
      <c r="E123" s="643">
        <f>E124*((D118+E118)/2)</f>
        <v>2579.0119843239718</v>
      </c>
      <c r="F123" s="643">
        <f>F124*((E118+F118)/2)</f>
        <v>3077.7068689484004</v>
      </c>
      <c r="G123" s="643">
        <f>G124*((F118+G118)/2)</f>
        <v>3633.5818786970613</v>
      </c>
      <c r="H123" s="643">
        <f>H124*((G118+H118)/2)</f>
        <v>4252.1986261526881</v>
      </c>
      <c r="I123" s="643">
        <f>I124*((H118+I118)/2)</f>
        <v>4939.6171670464864</v>
      </c>
    </row>
    <row r="124" spans="1:9">
      <c r="A124" s="570" t="s">
        <v>761</v>
      </c>
      <c r="B124" s="645">
        <v>0.8809180327868853</v>
      </c>
      <c r="C124" s="645">
        <f t="shared" ref="C124" si="78">C123/((B118+C118)/2)</f>
        <v>0.85342601787487582</v>
      </c>
      <c r="D124" s="645">
        <f>D123/(C118+1009+((D113-1009)/2))</f>
        <v>0.9263226649248858</v>
      </c>
      <c r="E124" s="645">
        <f>D124*(1+E125)</f>
        <v>0.99116525146962786</v>
      </c>
      <c r="F124" s="645">
        <f>E124*(1+F125)</f>
        <v>1.0605468190725018</v>
      </c>
      <c r="G124" s="645">
        <f>F124*(1+G125)</f>
        <v>1.134785096407577</v>
      </c>
      <c r="H124" s="645">
        <f>G124*(1+H125)</f>
        <v>1.2142200531561074</v>
      </c>
      <c r="I124" s="645">
        <f>H124*(1+I125)</f>
        <v>1.2992154568770349</v>
      </c>
    </row>
    <row r="125" spans="1:9">
      <c r="A125" s="590" t="s">
        <v>762</v>
      </c>
      <c r="B125" s="588"/>
      <c r="C125" s="627">
        <f t="shared" ref="C125" si="79">C124/B124-1</f>
        <v>-3.1208368870637493E-2</v>
      </c>
      <c r="D125" s="627">
        <f>D124/C124-1</f>
        <v>8.5416480776541848E-2</v>
      </c>
      <c r="E125" s="605">
        <v>7.0000000000000007E-2</v>
      </c>
      <c r="F125" s="605">
        <v>7.0000000000000007E-2</v>
      </c>
      <c r="G125" s="605">
        <v>7.0000000000000007E-2</v>
      </c>
      <c r="H125" s="605">
        <v>7.0000000000000007E-2</v>
      </c>
      <c r="I125" s="605">
        <v>7.0000000000000007E-2</v>
      </c>
    </row>
    <row r="126" spans="1:9">
      <c r="A126" s="567"/>
      <c r="B126" s="589"/>
      <c r="C126" s="589"/>
      <c r="D126" s="589"/>
      <c r="E126" s="569"/>
      <c r="F126" s="569"/>
      <c r="G126" s="569"/>
      <c r="H126" s="569"/>
      <c r="I126" s="569"/>
    </row>
    <row r="127" spans="1:9">
      <c r="A127" s="567"/>
      <c r="B127" s="589"/>
      <c r="C127" s="589"/>
      <c r="D127" s="589"/>
      <c r="E127" s="569"/>
      <c r="F127" s="569"/>
      <c r="G127" s="569"/>
      <c r="H127" s="569"/>
      <c r="I127" s="569"/>
    </row>
    <row r="128" spans="1:9">
      <c r="A128" s="590" t="s">
        <v>758</v>
      </c>
      <c r="B128" s="635">
        <v>245.3</v>
      </c>
      <c r="C128" s="635">
        <v>270.2</v>
      </c>
      <c r="D128" s="635">
        <v>264.39999999999998</v>
      </c>
      <c r="E128" s="643">
        <f>E129*((D119+E119)/2)</f>
        <v>340.95229564900785</v>
      </c>
      <c r="F128" s="643">
        <f>F129*((E119+F119)/2)</f>
        <v>430.94928075732753</v>
      </c>
      <c r="G128" s="643">
        <f>G129*((F119+G119)/2)</f>
        <v>531.87517753213194</v>
      </c>
      <c r="H128" s="643">
        <f>H129*((G119+H119)/2)</f>
        <v>644.81904837969785</v>
      </c>
      <c r="I128" s="643">
        <f>I129*((H119+I119)/2)</f>
        <v>770.9688727760157</v>
      </c>
    </row>
    <row r="129" spans="1:10">
      <c r="A129" s="570" t="s">
        <v>761</v>
      </c>
      <c r="B129" s="645">
        <v>8.681649265616706E-2</v>
      </c>
      <c r="C129" s="645">
        <f t="shared" ref="C129" si="80">C128/((B119+C119)/2)</f>
        <v>8.3240911891558841E-2</v>
      </c>
      <c r="D129" s="645">
        <f>D128/(C119-1009+((D114+1009)/2))</f>
        <v>9.6267977425814666E-2</v>
      </c>
      <c r="E129" s="645">
        <f>D129*(1+E130)</f>
        <v>0.1030067358456217</v>
      </c>
      <c r="F129" s="645">
        <f>E129*(1+F130)</f>
        <v>0.11021720735481523</v>
      </c>
      <c r="G129" s="645">
        <f>F129*(1+G130)</f>
        <v>0.11793241186965231</v>
      </c>
      <c r="H129" s="645">
        <f>G129*(1+H130)</f>
        <v>0.12618768070052797</v>
      </c>
      <c r="I129" s="645">
        <f>H129*(1+I130)</f>
        <v>0.13502081834956492</v>
      </c>
    </row>
    <row r="130" spans="1:10">
      <c r="A130" s="590" t="s">
        <v>762</v>
      </c>
      <c r="B130" s="589"/>
      <c r="C130" s="627">
        <f>C129/B129-1</f>
        <v>-4.1185501224625054E-2</v>
      </c>
      <c r="D130" s="627">
        <f>D129/C129-1</f>
        <v>0.15649835205105256</v>
      </c>
      <c r="E130" s="605">
        <v>7.0000000000000007E-2</v>
      </c>
      <c r="F130" s="605">
        <v>7.0000000000000007E-2</v>
      </c>
      <c r="G130" s="605">
        <v>7.0000000000000007E-2</v>
      </c>
      <c r="H130" s="605">
        <v>7.0000000000000007E-2</v>
      </c>
      <c r="I130" s="605">
        <v>7.0000000000000007E-2</v>
      </c>
    </row>
    <row r="131" spans="1:10">
      <c r="A131" s="567"/>
      <c r="B131" s="567"/>
      <c r="C131" s="589"/>
      <c r="D131" s="589"/>
      <c r="E131" s="589"/>
      <c r="F131" s="569"/>
      <c r="G131" s="569"/>
      <c r="H131" s="569"/>
      <c r="I131" s="569"/>
      <c r="J131" s="569"/>
    </row>
    <row r="132" spans="1:10">
      <c r="A132" s="567"/>
      <c r="B132" s="567"/>
      <c r="C132" s="589"/>
      <c r="D132" s="589"/>
      <c r="E132" s="589"/>
      <c r="F132" s="569"/>
      <c r="G132" s="569"/>
      <c r="H132" s="569"/>
      <c r="I132" s="569"/>
      <c r="J132" s="569"/>
    </row>
    <row r="133" spans="1:10">
      <c r="A133" s="567"/>
      <c r="B133" s="567"/>
      <c r="C133" s="589"/>
      <c r="D133" s="589"/>
      <c r="E133" s="589"/>
      <c r="F133" s="569"/>
      <c r="G133" s="569"/>
      <c r="H133" s="569"/>
      <c r="I133" s="569"/>
      <c r="J133" s="569"/>
    </row>
    <row r="134" spans="1:10">
      <c r="A134" s="595" t="s">
        <v>763</v>
      </c>
      <c r="B134" s="594">
        <f>B$19</f>
        <v>2013</v>
      </c>
      <c r="C134" s="594">
        <f t="shared" ref="C134:I134" si="81">C$19</f>
        <v>2014</v>
      </c>
      <c r="D134" s="594">
        <f t="shared" si="81"/>
        <v>2015</v>
      </c>
      <c r="E134" s="594" t="str">
        <f t="shared" si="81"/>
        <v>Year +1</v>
      </c>
      <c r="F134" s="594" t="str">
        <f t="shared" si="81"/>
        <v>Year +2</v>
      </c>
      <c r="G134" s="594" t="str">
        <f t="shared" si="81"/>
        <v>Year +3</v>
      </c>
      <c r="H134" s="594" t="str">
        <f t="shared" si="81"/>
        <v>Year +4</v>
      </c>
      <c r="I134" s="594" t="str">
        <f t="shared" si="81"/>
        <v>Year +5</v>
      </c>
    </row>
    <row r="135" spans="1:10">
      <c r="A135" s="583"/>
      <c r="B135" s="589"/>
      <c r="C135" s="589"/>
      <c r="D135" s="589"/>
      <c r="F135" s="589"/>
      <c r="G135" s="567"/>
      <c r="H135" s="567"/>
      <c r="I135" s="567"/>
    </row>
    <row r="136" spans="1:10">
      <c r="A136" s="583" t="s">
        <v>756</v>
      </c>
      <c r="B136" s="589"/>
      <c r="C136" s="589"/>
      <c r="D136" s="589"/>
      <c r="E136" s="569" t="s">
        <v>755</v>
      </c>
      <c r="F136" s="589"/>
      <c r="G136" s="567"/>
      <c r="H136" s="567"/>
      <c r="I136" s="567"/>
    </row>
    <row r="137" spans="1:10">
      <c r="A137" s="590" t="s">
        <v>757</v>
      </c>
      <c r="B137" s="589">
        <v>-29</v>
      </c>
      <c r="C137" s="589">
        <v>-9</v>
      </c>
      <c r="D137" s="589">
        <v>-80</v>
      </c>
      <c r="E137" s="569">
        <v>0</v>
      </c>
      <c r="F137" s="569">
        <v>0</v>
      </c>
      <c r="G137" s="569">
        <v>0</v>
      </c>
      <c r="H137" s="569">
        <v>0</v>
      </c>
      <c r="I137" s="569">
        <v>0</v>
      </c>
    </row>
    <row r="138" spans="1:10">
      <c r="A138" s="590" t="s">
        <v>758</v>
      </c>
      <c r="B138" s="591">
        <v>129</v>
      </c>
      <c r="C138" s="591">
        <v>180</v>
      </c>
      <c r="D138" s="591">
        <v>302</v>
      </c>
      <c r="E138" s="578">
        <v>200</v>
      </c>
      <c r="F138" s="578">
        <v>200</v>
      </c>
      <c r="G138" s="578">
        <v>200</v>
      </c>
      <c r="H138" s="578">
        <v>200</v>
      </c>
      <c r="I138" s="578">
        <v>200</v>
      </c>
    </row>
    <row r="139" spans="1:10">
      <c r="A139" s="590" t="s">
        <v>71</v>
      </c>
      <c r="B139" s="589">
        <f t="shared" ref="B139:I139" si="82">B137+B138</f>
        <v>100</v>
      </c>
      <c r="C139" s="589">
        <f t="shared" si="82"/>
        <v>171</v>
      </c>
      <c r="D139" s="589">
        <f t="shared" si="82"/>
        <v>222</v>
      </c>
      <c r="E139" s="589">
        <f t="shared" si="82"/>
        <v>200</v>
      </c>
      <c r="F139" s="589">
        <f t="shared" si="82"/>
        <v>200</v>
      </c>
      <c r="G139" s="589">
        <f t="shared" si="82"/>
        <v>200</v>
      </c>
      <c r="H139" s="589">
        <f t="shared" si="82"/>
        <v>200</v>
      </c>
      <c r="I139" s="589">
        <f t="shared" si="82"/>
        <v>200</v>
      </c>
    </row>
    <row r="140" spans="1:10">
      <c r="A140" s="567"/>
      <c r="B140" s="589"/>
      <c r="C140" s="589"/>
      <c r="D140" s="589"/>
      <c r="E140" s="589"/>
      <c r="F140" s="589"/>
      <c r="G140" s="589"/>
      <c r="H140" s="589"/>
      <c r="I140" s="589"/>
    </row>
    <row r="141" spans="1:10">
      <c r="A141" s="568" t="s">
        <v>759</v>
      </c>
      <c r="B141" s="589"/>
      <c r="C141" s="589"/>
      <c r="D141" s="589"/>
      <c r="E141" s="589"/>
      <c r="F141" s="589"/>
      <c r="G141" s="589"/>
      <c r="H141" s="589"/>
      <c r="I141" s="589"/>
    </row>
    <row r="142" spans="1:10">
      <c r="A142" s="590" t="s">
        <v>757</v>
      </c>
      <c r="B142" s="589">
        <v>826</v>
      </c>
      <c r="C142" s="589">
        <v>817</v>
      </c>
      <c r="D142" s="589">
        <v>737</v>
      </c>
      <c r="E142" s="592">
        <f t="shared" ref="E142:I143" si="83">D142+E137</f>
        <v>737</v>
      </c>
      <c r="F142" s="592">
        <f t="shared" si="83"/>
        <v>737</v>
      </c>
      <c r="G142" s="592">
        <f t="shared" si="83"/>
        <v>737</v>
      </c>
      <c r="H142" s="592">
        <f t="shared" si="83"/>
        <v>737</v>
      </c>
      <c r="I142" s="592">
        <f t="shared" si="83"/>
        <v>737</v>
      </c>
    </row>
    <row r="143" spans="1:10">
      <c r="A143" s="590" t="s">
        <v>758</v>
      </c>
      <c r="B143" s="591">
        <v>1143</v>
      </c>
      <c r="C143" s="591">
        <v>1323</v>
      </c>
      <c r="D143" s="591">
        <v>1625</v>
      </c>
      <c r="E143" s="591">
        <f t="shared" si="83"/>
        <v>1825</v>
      </c>
      <c r="F143" s="591">
        <f t="shared" si="83"/>
        <v>2025</v>
      </c>
      <c r="G143" s="591">
        <f t="shared" si="83"/>
        <v>2225</v>
      </c>
      <c r="H143" s="591">
        <f t="shared" si="83"/>
        <v>2425</v>
      </c>
      <c r="I143" s="591">
        <f t="shared" si="83"/>
        <v>2625</v>
      </c>
    </row>
    <row r="144" spans="1:10">
      <c r="A144" s="590" t="s">
        <v>71</v>
      </c>
      <c r="B144" s="589">
        <f t="shared" ref="B144:I144" si="84">B142+B143</f>
        <v>1969</v>
      </c>
      <c r="C144" s="589">
        <f t="shared" si="84"/>
        <v>2140</v>
      </c>
      <c r="D144" s="589">
        <f t="shared" si="84"/>
        <v>2362</v>
      </c>
      <c r="E144" s="589">
        <f t="shared" si="84"/>
        <v>2562</v>
      </c>
      <c r="F144" s="589">
        <f t="shared" si="84"/>
        <v>2762</v>
      </c>
      <c r="G144" s="589">
        <f t="shared" si="84"/>
        <v>2962</v>
      </c>
      <c r="H144" s="589">
        <f t="shared" si="84"/>
        <v>3162</v>
      </c>
      <c r="I144" s="589">
        <f t="shared" si="84"/>
        <v>3362</v>
      </c>
    </row>
    <row r="145" spans="1:13">
      <c r="A145" s="567"/>
      <c r="B145" s="589"/>
      <c r="C145" s="589"/>
      <c r="D145" s="589"/>
      <c r="E145" s="589"/>
      <c r="F145" s="589"/>
      <c r="G145" s="589"/>
      <c r="H145" s="589"/>
      <c r="I145" s="589"/>
    </row>
    <row r="146" spans="1:13">
      <c r="A146" s="568" t="s">
        <v>760</v>
      </c>
      <c r="B146" s="589"/>
      <c r="C146" s="589"/>
      <c r="D146" s="589"/>
      <c r="E146" s="589"/>
      <c r="F146" s="589"/>
      <c r="G146" s="589"/>
      <c r="H146" s="589"/>
      <c r="I146" s="589"/>
    </row>
    <row r="147" spans="1:13">
      <c r="A147" s="590" t="s">
        <v>757</v>
      </c>
      <c r="B147" s="635">
        <v>932.8</v>
      </c>
      <c r="C147" s="635">
        <v>1013.8</v>
      </c>
      <c r="D147" s="635">
        <v>911.2</v>
      </c>
      <c r="E147" s="643">
        <f>E148*((D142+E142)/2)</f>
        <v>881.5772046332047</v>
      </c>
      <c r="F147" s="643">
        <f>F148*((E142+F142)/2)</f>
        <v>899.20874872586876</v>
      </c>
      <c r="G147" s="643">
        <f>G148*((F142+G142)/2)</f>
        <v>917.19292370038625</v>
      </c>
      <c r="H147" s="643">
        <f>H148*((G142+H142)/2)</f>
        <v>935.53678217439381</v>
      </c>
      <c r="I147" s="643">
        <f>I148*((H142+I142)/2)</f>
        <v>954.24751781788166</v>
      </c>
    </row>
    <row r="148" spans="1:13">
      <c r="A148" s="570" t="s">
        <v>761</v>
      </c>
      <c r="B148" s="645">
        <v>1.1098155859607377</v>
      </c>
      <c r="C148" s="645">
        <f t="shared" ref="C148" si="85">C147/((B142+C142)/2)</f>
        <v>1.2340839926962872</v>
      </c>
      <c r="D148" s="645">
        <f>D147/((C142+D142)/2)</f>
        <v>1.1727155727155727</v>
      </c>
      <c r="E148" s="645">
        <f>D148*(1+E149)</f>
        <v>1.1961698841698842</v>
      </c>
      <c r="F148" s="645">
        <f>E148*(1+F149)</f>
        <v>1.2200932818532819</v>
      </c>
      <c r="G148" s="645">
        <f>F148*(1+G149)</f>
        <v>1.2444951474903476</v>
      </c>
      <c r="H148" s="645">
        <f>G148*(1+H149)</f>
        <v>1.2693850504401545</v>
      </c>
      <c r="I148" s="645">
        <f>H148*(1+I149)</f>
        <v>1.2947727514489575</v>
      </c>
      <c r="L148" s="539"/>
    </row>
    <row r="149" spans="1:13">
      <c r="A149" s="590" t="s">
        <v>762</v>
      </c>
      <c r="B149" s="589"/>
      <c r="C149" s="627">
        <f>C148/B148-1</f>
        <v>0.11197212249274169</v>
      </c>
      <c r="D149" s="627">
        <f>D148/C148-1</f>
        <v>-4.9727911830890648E-2</v>
      </c>
      <c r="E149" s="605">
        <v>0.02</v>
      </c>
      <c r="F149" s="605">
        <v>0.02</v>
      </c>
      <c r="G149" s="605">
        <v>0.02</v>
      </c>
      <c r="H149" s="605">
        <v>0.02</v>
      </c>
      <c r="I149" s="605">
        <v>0.02</v>
      </c>
    </row>
    <row r="150" spans="1:13">
      <c r="A150" s="567"/>
      <c r="B150" s="589"/>
      <c r="C150" s="589"/>
      <c r="D150" s="589"/>
      <c r="E150" s="601"/>
      <c r="F150" s="601"/>
      <c r="G150" s="601"/>
      <c r="H150" s="601"/>
      <c r="I150" s="601"/>
    </row>
    <row r="151" spans="1:13">
      <c r="A151" s="590"/>
      <c r="B151" s="589"/>
      <c r="C151" s="589"/>
      <c r="D151" s="589"/>
      <c r="E151" s="601"/>
      <c r="F151" s="601"/>
      <c r="G151" s="601"/>
      <c r="H151" s="601"/>
      <c r="I151" s="601"/>
    </row>
    <row r="152" spans="1:13">
      <c r="A152" s="590" t="s">
        <v>758</v>
      </c>
      <c r="B152" s="635">
        <v>190.3</v>
      </c>
      <c r="C152" s="635">
        <v>238.4</v>
      </c>
      <c r="D152" s="635">
        <v>257.2</v>
      </c>
      <c r="E152" s="643">
        <f>E153*((D143+E143)/2)</f>
        <v>307.01723202170962</v>
      </c>
      <c r="F152" s="643">
        <f>F153*((E143+F143)/2)</f>
        <v>349.46570149253733</v>
      </c>
      <c r="G152" s="643">
        <f>G153*((F143+G143)/2)</f>
        <v>393.48930284938945</v>
      </c>
      <c r="H152" s="643">
        <f>H153*((G143+H143)/2)</f>
        <v>439.13406197991861</v>
      </c>
      <c r="I152" s="643">
        <f>I153*((H143+I143)/2)</f>
        <v>486.44721575452917</v>
      </c>
    </row>
    <row r="153" spans="1:13">
      <c r="A153" s="570" t="s">
        <v>761</v>
      </c>
      <c r="B153" s="645">
        <v>0.17644877144181734</v>
      </c>
      <c r="C153" s="645">
        <f t="shared" ref="C153" si="86">C152/((B143+C143)/2)</f>
        <v>0.19334955393349554</v>
      </c>
      <c r="D153" s="645">
        <f>D152/((C143+D143)/2)</f>
        <v>0.17449118046132972</v>
      </c>
      <c r="E153" s="645">
        <f>D153*(1+E154)</f>
        <v>0.17798100407055631</v>
      </c>
      <c r="F153" s="645">
        <f>E153*(1+F154)</f>
        <v>0.18154062415196745</v>
      </c>
      <c r="G153" s="645">
        <f>F153*(1+G154)</f>
        <v>0.18517143663500679</v>
      </c>
      <c r="H153" s="645">
        <f>G153*(1+H154)</f>
        <v>0.18887486536770692</v>
      </c>
      <c r="I153" s="645">
        <f>H153*(1+I154)</f>
        <v>0.19265236267506106</v>
      </c>
    </row>
    <row r="154" spans="1:13">
      <c r="A154" s="590" t="s">
        <v>762</v>
      </c>
      <c r="B154" s="589"/>
      <c r="C154" s="627">
        <f>C153/B153-1</f>
        <v>9.5782942287309103E-2</v>
      </c>
      <c r="D154" s="627">
        <f>D153/C153-1</f>
        <v>-9.7535127899246898E-2</v>
      </c>
      <c r="E154" s="605">
        <f>E149</f>
        <v>0.02</v>
      </c>
      <c r="F154" s="605">
        <f>F149</f>
        <v>0.02</v>
      </c>
      <c r="G154" s="605">
        <f>G149</f>
        <v>0.02</v>
      </c>
      <c r="H154" s="605">
        <f>H149</f>
        <v>0.02</v>
      </c>
      <c r="I154" s="605">
        <f>I149</f>
        <v>0.02</v>
      </c>
    </row>
    <row r="155" spans="1:13">
      <c r="A155" s="567"/>
      <c r="B155" s="589"/>
      <c r="C155" s="589"/>
      <c r="D155" s="589"/>
      <c r="E155" s="569"/>
      <c r="F155" s="569"/>
      <c r="G155" s="569"/>
      <c r="H155" s="569"/>
      <c r="I155" s="569"/>
    </row>
    <row r="156" spans="1:13">
      <c r="A156" s="590"/>
      <c r="B156" s="589"/>
      <c r="C156" s="602"/>
      <c r="D156" s="602"/>
      <c r="E156" s="601"/>
      <c r="F156" s="601"/>
      <c r="G156" s="601"/>
      <c r="H156" s="601"/>
      <c r="I156" s="601"/>
      <c r="K156" s="617"/>
      <c r="L156" s="629"/>
      <c r="M156" s="629"/>
    </row>
    <row r="157" spans="1:13">
      <c r="A157" s="590"/>
      <c r="B157" s="589"/>
      <c r="C157" s="602"/>
      <c r="D157" s="602"/>
      <c r="E157" s="601"/>
      <c r="F157" s="601"/>
      <c r="G157" s="601"/>
      <c r="H157" s="601"/>
      <c r="I157" s="601"/>
      <c r="K157" s="616"/>
      <c r="L157" s="616"/>
      <c r="M157" s="616"/>
    </row>
    <row r="158" spans="1:13">
      <c r="A158" s="595" t="s">
        <v>827</v>
      </c>
      <c r="B158" s="594">
        <f>B$19</f>
        <v>2013</v>
      </c>
      <c r="C158" s="594">
        <f t="shared" ref="C158:I158" si="87">C$19</f>
        <v>2014</v>
      </c>
      <c r="D158" s="594">
        <f t="shared" si="87"/>
        <v>2015</v>
      </c>
      <c r="E158" s="594" t="str">
        <f t="shared" si="87"/>
        <v>Year +1</v>
      </c>
      <c r="F158" s="594" t="str">
        <f t="shared" si="87"/>
        <v>Year +2</v>
      </c>
      <c r="G158" s="594" t="str">
        <f t="shared" si="87"/>
        <v>Year +3</v>
      </c>
      <c r="H158" s="594" t="str">
        <f t="shared" si="87"/>
        <v>Year +4</v>
      </c>
      <c r="I158" s="594" t="str">
        <f t="shared" si="87"/>
        <v>Year +5</v>
      </c>
      <c r="J158" s="109"/>
      <c r="K158" s="617"/>
      <c r="L158" s="617"/>
      <c r="M158" s="617"/>
    </row>
    <row r="159" spans="1:13">
      <c r="A159" s="97"/>
      <c r="B159" s="97"/>
      <c r="C159" s="617"/>
      <c r="D159" s="617"/>
      <c r="E159" s="617"/>
      <c r="G159" s="617"/>
      <c r="H159" s="109"/>
      <c r="I159" s="109"/>
      <c r="J159" s="109"/>
      <c r="K159" s="617"/>
      <c r="L159" s="617"/>
      <c r="M159" s="617"/>
    </row>
    <row r="160" spans="1:13">
      <c r="A160" s="97" t="s">
        <v>756</v>
      </c>
      <c r="B160" s="97"/>
      <c r="C160" s="617"/>
      <c r="D160" s="617"/>
      <c r="E160" s="618" t="s">
        <v>755</v>
      </c>
      <c r="F160" s="109"/>
      <c r="G160" s="617"/>
      <c r="H160" s="109"/>
      <c r="I160" s="109"/>
      <c r="J160" s="109"/>
      <c r="K160" s="617"/>
      <c r="L160" s="617"/>
      <c r="M160" s="617"/>
    </row>
    <row r="161" spans="1:14">
      <c r="A161" s="212" t="s">
        <v>757</v>
      </c>
      <c r="B161" s="617">
        <v>343</v>
      </c>
      <c r="C161" s="617">
        <v>12</v>
      </c>
      <c r="D161" s="617">
        <v>6</v>
      </c>
      <c r="E161" s="618">
        <v>0</v>
      </c>
      <c r="F161" s="618">
        <v>0</v>
      </c>
      <c r="G161" s="618">
        <v>0</v>
      </c>
      <c r="H161" s="618">
        <v>0</v>
      </c>
      <c r="I161" s="618">
        <v>0</v>
      </c>
      <c r="K161" s="617"/>
      <c r="L161" s="617"/>
      <c r="M161" s="617"/>
    </row>
    <row r="162" spans="1:14">
      <c r="A162" s="212" t="s">
        <v>758</v>
      </c>
      <c r="B162" s="619">
        <v>-10</v>
      </c>
      <c r="C162" s="619">
        <v>-24</v>
      </c>
      <c r="D162" s="619">
        <v>-1</v>
      </c>
      <c r="E162" s="620">
        <v>0</v>
      </c>
      <c r="F162" s="620">
        <v>0</v>
      </c>
      <c r="G162" s="620">
        <v>0</v>
      </c>
      <c r="H162" s="620">
        <v>0</v>
      </c>
      <c r="I162" s="620">
        <v>0</v>
      </c>
      <c r="K162" s="617"/>
      <c r="L162" s="617"/>
      <c r="M162" s="617"/>
    </row>
    <row r="163" spans="1:14">
      <c r="A163" s="212" t="s">
        <v>71</v>
      </c>
      <c r="B163" s="617">
        <f t="shared" ref="B163:I163" si="88">B161+B162</f>
        <v>333</v>
      </c>
      <c r="C163" s="617">
        <f t="shared" si="88"/>
        <v>-12</v>
      </c>
      <c r="D163" s="617">
        <f t="shared" si="88"/>
        <v>5</v>
      </c>
      <c r="E163" s="617">
        <f t="shared" si="88"/>
        <v>0</v>
      </c>
      <c r="F163" s="617">
        <f t="shared" si="88"/>
        <v>0</v>
      </c>
      <c r="G163" s="617">
        <f t="shared" si="88"/>
        <v>0</v>
      </c>
      <c r="H163" s="617">
        <f t="shared" si="88"/>
        <v>0</v>
      </c>
      <c r="I163" s="617">
        <f t="shared" si="88"/>
        <v>0</v>
      </c>
      <c r="K163" s="617"/>
      <c r="L163" s="617"/>
      <c r="M163" s="617"/>
    </row>
    <row r="164" spans="1:14">
      <c r="A164" s="109"/>
      <c r="B164" s="212"/>
      <c r="C164" s="617"/>
      <c r="D164" s="617"/>
      <c r="E164" s="617"/>
      <c r="F164" s="617"/>
      <c r="G164" s="617"/>
      <c r="H164" s="617"/>
      <c r="I164" s="617"/>
      <c r="J164" s="617"/>
      <c r="K164" s="617"/>
      <c r="L164" s="617"/>
      <c r="M164" s="617"/>
    </row>
    <row r="165" spans="1:14">
      <c r="A165" s="109" t="s">
        <v>808</v>
      </c>
      <c r="B165" s="212"/>
      <c r="C165" s="617"/>
      <c r="D165" s="617"/>
      <c r="E165" s="617"/>
      <c r="F165" s="617"/>
      <c r="G165" s="617"/>
      <c r="H165" s="617"/>
      <c r="I165" s="617"/>
      <c r="J165" s="617"/>
      <c r="K165" s="617"/>
      <c r="L165" s="617"/>
      <c r="M165" s="617"/>
    </row>
    <row r="166" spans="1:14">
      <c r="A166" s="212" t="s">
        <v>757</v>
      </c>
      <c r="B166" s="617">
        <v>357</v>
      </c>
      <c r="C166" s="617">
        <v>369</v>
      </c>
      <c r="D166" s="617">
        <v>375</v>
      </c>
      <c r="E166" s="621">
        <f t="shared" ref="E166:I167" si="89">D166+E161</f>
        <v>375</v>
      </c>
      <c r="F166" s="621">
        <f t="shared" si="89"/>
        <v>375</v>
      </c>
      <c r="G166" s="621">
        <f t="shared" si="89"/>
        <v>375</v>
      </c>
      <c r="H166" s="621">
        <f t="shared" si="89"/>
        <v>375</v>
      </c>
      <c r="I166" s="621">
        <f t="shared" si="89"/>
        <v>375</v>
      </c>
      <c r="K166" s="617"/>
      <c r="L166" s="617"/>
      <c r="M166" s="617"/>
    </row>
    <row r="167" spans="1:14">
      <c r="A167" s="212" t="s">
        <v>758</v>
      </c>
      <c r="B167" s="619">
        <v>66</v>
      </c>
      <c r="C167" s="619">
        <v>42</v>
      </c>
      <c r="D167" s="619">
        <v>41</v>
      </c>
      <c r="E167" s="619">
        <f t="shared" si="89"/>
        <v>41</v>
      </c>
      <c r="F167" s="619">
        <f t="shared" si="89"/>
        <v>41</v>
      </c>
      <c r="G167" s="619">
        <f t="shared" si="89"/>
        <v>41</v>
      </c>
      <c r="H167" s="619">
        <f t="shared" si="89"/>
        <v>41</v>
      </c>
      <c r="I167" s="619">
        <f t="shared" si="89"/>
        <v>41</v>
      </c>
      <c r="K167" s="617"/>
      <c r="L167" s="617"/>
      <c r="M167" s="617"/>
    </row>
    <row r="168" spans="1:14">
      <c r="A168" s="212" t="s">
        <v>71</v>
      </c>
      <c r="B168" s="617">
        <f t="shared" ref="B168:I168" si="90">B166+B167</f>
        <v>423</v>
      </c>
      <c r="C168" s="617">
        <f t="shared" si="90"/>
        <v>411</v>
      </c>
      <c r="D168" s="617">
        <f t="shared" si="90"/>
        <v>416</v>
      </c>
      <c r="E168" s="617">
        <f t="shared" si="90"/>
        <v>416</v>
      </c>
      <c r="F168" s="617">
        <f t="shared" si="90"/>
        <v>416</v>
      </c>
      <c r="G168" s="617">
        <f t="shared" si="90"/>
        <v>416</v>
      </c>
      <c r="H168" s="617">
        <f t="shared" si="90"/>
        <v>416</v>
      </c>
      <c r="I168" s="617">
        <f t="shared" si="90"/>
        <v>416</v>
      </c>
      <c r="K168" s="617"/>
      <c r="L168" s="617"/>
      <c r="M168" s="617"/>
    </row>
    <row r="169" spans="1:14">
      <c r="A169" s="109"/>
      <c r="B169" s="212"/>
      <c r="C169" s="617"/>
      <c r="D169" s="617"/>
      <c r="E169" s="617"/>
      <c r="F169" s="617"/>
      <c r="G169" s="617"/>
      <c r="H169" s="617"/>
      <c r="I169" s="617"/>
      <c r="J169" s="617"/>
      <c r="K169" s="623"/>
      <c r="L169" s="294"/>
      <c r="M169" s="294"/>
      <c r="N169" s="52"/>
    </row>
    <row r="170" spans="1:14">
      <c r="A170" s="622" t="s">
        <v>809</v>
      </c>
      <c r="B170" s="634">
        <f>150.4+9.5</f>
        <v>159.9</v>
      </c>
      <c r="C170" s="634">
        <f>238.2+5.1</f>
        <v>243.29999999999998</v>
      </c>
      <c r="D170" s="634">
        <f>233.2+5.9</f>
        <v>239.1</v>
      </c>
      <c r="E170" s="637">
        <f t="shared" ref="E170:I170" si="91">D170*(1+E171)</f>
        <v>246.273</v>
      </c>
      <c r="F170" s="637">
        <f t="shared" si="91"/>
        <v>253.66119</v>
      </c>
      <c r="G170" s="637">
        <f t="shared" si="91"/>
        <v>261.2710257</v>
      </c>
      <c r="H170" s="637">
        <f t="shared" si="91"/>
        <v>269.10915647100001</v>
      </c>
      <c r="I170" s="637">
        <f t="shared" si="91"/>
        <v>277.18243116513003</v>
      </c>
      <c r="K170" s="617"/>
      <c r="L170" s="617"/>
      <c r="M170" s="617"/>
      <c r="N170" s="52"/>
    </row>
    <row r="171" spans="1:14">
      <c r="A171" s="97"/>
      <c r="B171" s="617"/>
      <c r="C171" s="617"/>
      <c r="D171" s="617"/>
      <c r="E171" s="624">
        <v>0.03</v>
      </c>
      <c r="F171" s="624">
        <v>0.03</v>
      </c>
      <c r="G171" s="624">
        <v>0.03</v>
      </c>
      <c r="H171" s="624">
        <v>0.03</v>
      </c>
      <c r="I171" s="624">
        <v>0.03</v>
      </c>
      <c r="K171" s="617"/>
      <c r="L171" s="617"/>
      <c r="M171" s="617"/>
      <c r="N171" s="52"/>
    </row>
    <row r="172" spans="1:14">
      <c r="A172" s="97"/>
      <c r="B172" s="617"/>
      <c r="C172" s="617"/>
      <c r="D172" s="617"/>
      <c r="E172" s="624"/>
      <c r="F172" s="624"/>
      <c r="G172" s="624"/>
      <c r="H172" s="624"/>
      <c r="I172" s="624"/>
      <c r="K172" s="617"/>
      <c r="L172" s="617"/>
      <c r="M172" s="617"/>
      <c r="N172" s="52"/>
    </row>
    <row r="173" spans="1:14">
      <c r="A173" s="97"/>
      <c r="B173" s="617"/>
      <c r="C173" s="617"/>
      <c r="D173" s="617"/>
      <c r="E173" s="624"/>
      <c r="F173" s="624"/>
      <c r="G173" s="624"/>
      <c r="H173" s="624"/>
      <c r="I173" s="624"/>
      <c r="K173" s="617"/>
      <c r="L173" s="617"/>
      <c r="M173" s="617"/>
      <c r="N173" s="52"/>
    </row>
    <row r="174" spans="1:14">
      <c r="A174" s="595" t="s">
        <v>765</v>
      </c>
      <c r="B174" s="594">
        <f>B$19</f>
        <v>2013</v>
      </c>
      <c r="C174" s="594">
        <f t="shared" ref="C174:I174" si="92">C$19</f>
        <v>2014</v>
      </c>
      <c r="D174" s="594">
        <f t="shared" si="92"/>
        <v>2015</v>
      </c>
      <c r="E174" s="594" t="str">
        <f t="shared" si="92"/>
        <v>Year +1</v>
      </c>
      <c r="F174" s="594" t="str">
        <f t="shared" si="92"/>
        <v>Year +2</v>
      </c>
      <c r="G174" s="594" t="str">
        <f t="shared" si="92"/>
        <v>Year +3</v>
      </c>
      <c r="H174" s="594" t="str">
        <f t="shared" si="92"/>
        <v>Year +4</v>
      </c>
      <c r="I174" s="594" t="str">
        <f t="shared" si="92"/>
        <v>Year +5</v>
      </c>
      <c r="K174" s="617"/>
      <c r="L174" s="617"/>
      <c r="M174" s="617"/>
      <c r="N174" s="52"/>
    </row>
    <row r="175" spans="1:14">
      <c r="A175" s="568" t="s">
        <v>810</v>
      </c>
      <c r="B175" s="589"/>
      <c r="C175" s="589"/>
      <c r="D175" s="596"/>
      <c r="E175" s="569"/>
      <c r="F175" s="569"/>
      <c r="G175" s="569"/>
      <c r="H175" s="569"/>
      <c r="I175" s="569"/>
      <c r="K175" s="617"/>
      <c r="L175" s="617"/>
      <c r="M175" s="617"/>
      <c r="N175" s="52"/>
    </row>
    <row r="176" spans="1:14">
      <c r="A176" s="590" t="s">
        <v>760</v>
      </c>
      <c r="B176" s="634">
        <v>1713.1</v>
      </c>
      <c r="C176" s="634">
        <f>1546+39.1+42.6+253.6</f>
        <v>1881.2999999999997</v>
      </c>
      <c r="D176" s="634">
        <f>1730.9+33.4+4.2+48.3+286.7</f>
        <v>2103.5</v>
      </c>
      <c r="E176" s="643">
        <f>D176*(1+E177)</f>
        <v>2313.8500000000004</v>
      </c>
      <c r="F176" s="643">
        <f>E176*(1+F177)</f>
        <v>2545.2350000000006</v>
      </c>
      <c r="G176" s="643">
        <f>F176*(1+G177)</f>
        <v>2799.7585000000008</v>
      </c>
      <c r="H176" s="643">
        <f>G176*(1+H177)</f>
        <v>3079.7343500000011</v>
      </c>
      <c r="I176" s="643">
        <f>H176*(1+I177)</f>
        <v>3387.7077850000014</v>
      </c>
      <c r="K176" s="617"/>
      <c r="L176" s="617"/>
      <c r="M176" s="617"/>
      <c r="N176" s="52"/>
    </row>
    <row r="177" spans="1:23">
      <c r="A177" s="590" t="s">
        <v>766</v>
      </c>
      <c r="B177" s="589"/>
      <c r="C177" s="602">
        <f>C176/B176-1</f>
        <v>9.8184577666219131E-2</v>
      </c>
      <c r="D177" s="602">
        <f>D176/C176-1</f>
        <v>0.11810981767926454</v>
      </c>
      <c r="E177" s="605">
        <v>0.1</v>
      </c>
      <c r="F177" s="605">
        <v>0.1</v>
      </c>
      <c r="G177" s="605">
        <v>0.1</v>
      </c>
      <c r="H177" s="605">
        <v>0.1</v>
      </c>
      <c r="I177" s="605">
        <v>0.1</v>
      </c>
      <c r="K177" s="617"/>
      <c r="L177" s="617"/>
      <c r="M177" s="617"/>
      <c r="N177" s="52"/>
    </row>
    <row r="178" spans="1:23">
      <c r="A178" s="590"/>
      <c r="B178" s="589"/>
      <c r="C178" s="602"/>
      <c r="D178" s="602"/>
      <c r="E178" s="601"/>
      <c r="F178" s="601"/>
      <c r="G178" s="601"/>
      <c r="H178" s="601"/>
      <c r="I178" s="601"/>
      <c r="K178" s="617"/>
      <c r="L178" s="617"/>
      <c r="M178" s="617"/>
      <c r="N178" s="52"/>
    </row>
    <row r="179" spans="1:23">
      <c r="A179" s="97"/>
      <c r="B179" s="617"/>
      <c r="C179" s="617"/>
      <c r="D179" s="617"/>
      <c r="E179" s="624"/>
      <c r="F179" s="624"/>
      <c r="G179" s="624"/>
      <c r="H179" s="624"/>
      <c r="I179" s="624"/>
      <c r="K179" s="617"/>
      <c r="L179" s="617"/>
      <c r="M179" s="617"/>
      <c r="N179" s="52"/>
    </row>
    <row r="180" spans="1:23">
      <c r="A180" s="109" t="s">
        <v>17</v>
      </c>
      <c r="B180" s="646">
        <f t="shared" ref="B180:I180" si="93">B170+B176+B152+B147+B128+B123+B105+B100</f>
        <v>14866.8</v>
      </c>
      <c r="C180" s="646">
        <f t="shared" si="93"/>
        <v>16447.8</v>
      </c>
      <c r="D180" s="646">
        <f t="shared" si="93"/>
        <v>19162.7</v>
      </c>
      <c r="E180" s="647">
        <f t="shared" si="93"/>
        <v>21269.321029373939</v>
      </c>
      <c r="F180" s="647">
        <f t="shared" si="93"/>
        <v>23670.508027877069</v>
      </c>
      <c r="G180" s="647">
        <f t="shared" si="93"/>
        <v>26294.166701137743</v>
      </c>
      <c r="H180" s="647">
        <f t="shared" si="93"/>
        <v>29159.361158630378</v>
      </c>
      <c r="I180" s="647">
        <f t="shared" si="93"/>
        <v>32286.725920330726</v>
      </c>
      <c r="K180" s="617"/>
      <c r="L180" s="617"/>
      <c r="M180" s="617"/>
      <c r="N180" s="52"/>
    </row>
    <row r="181" spans="1:23">
      <c r="A181" s="97"/>
      <c r="B181" s="617"/>
      <c r="C181" s="617"/>
      <c r="D181" s="617"/>
      <c r="E181" s="18"/>
      <c r="F181" s="18"/>
      <c r="G181" s="18"/>
      <c r="H181" s="18"/>
      <c r="I181" s="18"/>
      <c r="K181" s="630"/>
      <c r="L181" s="630"/>
      <c r="M181" s="630"/>
      <c r="N181" s="52"/>
    </row>
    <row r="182" spans="1:23">
      <c r="A182" s="582" t="s">
        <v>824</v>
      </c>
      <c r="B182" s="582"/>
      <c r="C182" s="586"/>
      <c r="D182" s="586"/>
      <c r="E182" s="649">
        <f>E180*((53/52)-1)</f>
        <v>409.02540441103582</v>
      </c>
      <c r="F182" s="567"/>
      <c r="G182" s="567"/>
      <c r="H182" s="567"/>
      <c r="I182" s="567"/>
      <c r="K182" s="630"/>
      <c r="L182" s="630"/>
      <c r="M182" s="630"/>
      <c r="N182" s="52"/>
    </row>
    <row r="183" spans="1:23">
      <c r="A183" s="582"/>
      <c r="B183" s="582"/>
      <c r="C183" s="586"/>
      <c r="D183" s="586"/>
      <c r="E183" s="586"/>
      <c r="F183" s="567"/>
      <c r="G183" s="567"/>
      <c r="H183" s="567"/>
      <c r="I183" s="567"/>
      <c r="K183" s="630"/>
      <c r="L183" s="630"/>
      <c r="M183" s="630"/>
      <c r="N183" s="52"/>
    </row>
    <row r="184" spans="1:23">
      <c r="A184" s="633" t="s">
        <v>695</v>
      </c>
      <c r="B184" s="657">
        <f>B180</f>
        <v>14866.8</v>
      </c>
      <c r="C184" s="657">
        <f t="shared" ref="C184:D184" si="94">C180</f>
        <v>16447.8</v>
      </c>
      <c r="D184" s="657">
        <f t="shared" si="94"/>
        <v>19162.7</v>
      </c>
      <c r="E184" s="658">
        <f>E180+E182</f>
        <v>21678.346433784976</v>
      </c>
      <c r="F184" s="658">
        <f t="shared" ref="F184:I184" si="95">F180</f>
        <v>23670.508027877069</v>
      </c>
      <c r="G184" s="658">
        <f t="shared" si="95"/>
        <v>26294.166701137743</v>
      </c>
      <c r="H184" s="658">
        <f t="shared" si="95"/>
        <v>29159.361158630378</v>
      </c>
      <c r="I184" s="658">
        <f t="shared" si="95"/>
        <v>32286.725920330726</v>
      </c>
      <c r="K184" s="52"/>
      <c r="L184" s="52"/>
      <c r="M184" s="52"/>
      <c r="N184" s="52"/>
    </row>
    <row r="185" spans="1:23">
      <c r="A185" s="582"/>
      <c r="B185" s="649"/>
      <c r="C185" s="649"/>
      <c r="D185" s="649"/>
      <c r="E185" s="649"/>
      <c r="F185" s="649"/>
      <c r="G185" s="649"/>
      <c r="H185" s="649"/>
      <c r="I185" s="649"/>
      <c r="K185" s="52"/>
      <c r="L185" s="52"/>
      <c r="M185" s="52"/>
      <c r="N185" s="52"/>
    </row>
    <row r="186" spans="1:23">
      <c r="A186" s="582"/>
      <c r="B186" s="649"/>
      <c r="C186" s="649"/>
      <c r="D186" s="649"/>
      <c r="E186" s="649"/>
      <c r="F186" s="649"/>
      <c r="G186" s="649"/>
      <c r="H186" s="649"/>
      <c r="I186" s="649"/>
      <c r="K186" s="52"/>
      <c r="L186" s="52"/>
      <c r="M186" s="52"/>
      <c r="N186" s="52"/>
    </row>
    <row r="187" spans="1:23">
      <c r="B187" s="631"/>
      <c r="C187" s="631"/>
      <c r="D187" s="631"/>
      <c r="E187" s="631"/>
      <c r="F187" s="631"/>
      <c r="G187" s="631"/>
      <c r="H187" s="631"/>
      <c r="I187" s="631"/>
      <c r="J187" s="50"/>
    </row>
    <row r="188" spans="1:23">
      <c r="J188" s="50"/>
    </row>
    <row r="189" spans="1:23">
      <c r="A189" s="301" t="s">
        <v>131</v>
      </c>
      <c r="B189" s="184"/>
      <c r="C189" s="184"/>
      <c r="D189" s="184"/>
      <c r="E189" s="184"/>
      <c r="F189" s="184"/>
      <c r="G189" s="184"/>
      <c r="H189" s="184"/>
      <c r="I189" s="184"/>
      <c r="J189" s="50"/>
    </row>
    <row r="190" spans="1:23">
      <c r="J190" s="50"/>
    </row>
    <row r="191" spans="1:23">
      <c r="A191" s="301" t="s">
        <v>132</v>
      </c>
      <c r="B191" s="183"/>
      <c r="C191" s="183"/>
      <c r="D191" s="309"/>
      <c r="E191" s="310" t="s">
        <v>121</v>
      </c>
      <c r="F191" s="311"/>
      <c r="G191" s="648"/>
      <c r="H191" s="312"/>
      <c r="I191" s="312"/>
      <c r="J191" s="99"/>
      <c r="K191" s="50" t="s">
        <v>429</v>
      </c>
      <c r="L191" s="99"/>
      <c r="M191" s="99"/>
      <c r="N191" s="99"/>
      <c r="O191" s="99"/>
      <c r="P191" s="99"/>
      <c r="Q191" s="109"/>
      <c r="R191" s="109"/>
      <c r="S191" s="109"/>
      <c r="T191" s="109"/>
      <c r="U191" s="109"/>
      <c r="V191" s="109"/>
      <c r="W191" s="109"/>
    </row>
    <row r="192" spans="1:23">
      <c r="A192" s="313"/>
      <c r="B192" s="313">
        <f t="shared" ref="B192:I192" si="96">B19</f>
        <v>2013</v>
      </c>
      <c r="C192" s="313">
        <f t="shared" si="96"/>
        <v>2014</v>
      </c>
      <c r="D192" s="313">
        <f t="shared" si="96"/>
        <v>2015</v>
      </c>
      <c r="E192" s="500" t="str">
        <f t="shared" si="96"/>
        <v>Year +1</v>
      </c>
      <c r="F192" s="500" t="str">
        <f t="shared" si="96"/>
        <v>Year +2</v>
      </c>
      <c r="G192" s="500" t="str">
        <f t="shared" si="96"/>
        <v>Year +3</v>
      </c>
      <c r="H192" s="500" t="str">
        <f t="shared" si="96"/>
        <v>Year +4</v>
      </c>
      <c r="I192" s="500" t="str">
        <f t="shared" si="96"/>
        <v>Year +5</v>
      </c>
      <c r="J192" s="99"/>
      <c r="K192" s="314"/>
      <c r="L192" s="314"/>
      <c r="M192" s="314"/>
      <c r="N192" s="314"/>
      <c r="O192" s="99"/>
      <c r="P192" s="99"/>
      <c r="Q192" s="75"/>
      <c r="R192" s="75"/>
      <c r="S192" s="75"/>
      <c r="T192" s="75"/>
      <c r="U192" s="75"/>
      <c r="V192" s="75"/>
      <c r="W192" s="75"/>
    </row>
    <row r="193" spans="1:23">
      <c r="A193" s="287" t="s">
        <v>122</v>
      </c>
      <c r="C193" s="315"/>
      <c r="D193" s="315"/>
      <c r="J193" s="50"/>
      <c r="K193" s="316"/>
      <c r="L193" s="316"/>
      <c r="M193" s="316"/>
      <c r="N193" s="316"/>
      <c r="O193" s="99"/>
      <c r="P193" s="99"/>
      <c r="Q193" s="109"/>
      <c r="R193" s="109"/>
      <c r="S193" s="109"/>
      <c r="T193" s="109"/>
      <c r="U193" s="109"/>
      <c r="V193" s="109"/>
      <c r="W193" s="109"/>
    </row>
    <row r="194" spans="1:23">
      <c r="A194" s="305" t="s">
        <v>133</v>
      </c>
      <c r="B194" s="649">
        <f>-Data!E115</f>
        <v>1151.2</v>
      </c>
      <c r="C194" s="649">
        <f>-Data!F115</f>
        <v>1160.9000000000001</v>
      </c>
      <c r="D194" s="649">
        <f>-Data!G115</f>
        <v>1303.7</v>
      </c>
      <c r="E194" s="318"/>
      <c r="F194" s="318"/>
      <c r="G194" s="242"/>
      <c r="H194" s="242"/>
      <c r="I194" s="306"/>
      <c r="J194" s="99"/>
      <c r="K194" s="99"/>
      <c r="L194" s="99"/>
      <c r="M194" s="99"/>
      <c r="N194" s="99"/>
      <c r="O194" s="99"/>
      <c r="P194" s="99"/>
      <c r="Q194" s="109"/>
      <c r="R194" s="109"/>
      <c r="S194" s="109"/>
      <c r="T194" s="109"/>
      <c r="U194" s="109"/>
      <c r="V194" s="109"/>
      <c r="W194" s="109"/>
    </row>
    <row r="195" spans="1:23">
      <c r="A195" s="305" t="s">
        <v>134</v>
      </c>
      <c r="B195" s="317">
        <f>-Data!E114</f>
        <v>0</v>
      </c>
      <c r="C195" s="317">
        <f>-Data!F114</f>
        <v>0</v>
      </c>
      <c r="D195" s="317">
        <f>-Data!G114</f>
        <v>0</v>
      </c>
      <c r="E195" s="242"/>
      <c r="F195" s="242"/>
      <c r="G195" s="308"/>
      <c r="H195" s="308"/>
      <c r="I195" s="308"/>
      <c r="J195" s="308"/>
      <c r="K195" s="308"/>
      <c r="L195" s="308"/>
      <c r="M195" s="308"/>
      <c r="N195" s="308"/>
      <c r="O195" s="99"/>
      <c r="P195" s="99"/>
      <c r="Q195" s="109"/>
      <c r="R195" s="109"/>
      <c r="S195" s="109"/>
      <c r="T195" s="109"/>
      <c r="U195" s="109"/>
      <c r="V195" s="109"/>
      <c r="W195" s="109"/>
    </row>
    <row r="196" spans="1:23">
      <c r="A196" s="287" t="s">
        <v>135</v>
      </c>
      <c r="B196" s="650">
        <f>B194+B195</f>
        <v>1151.2</v>
      </c>
      <c r="C196" s="650">
        <f>C194+C195</f>
        <v>1160.9000000000001</v>
      </c>
      <c r="D196" s="650">
        <f>D194+D195</f>
        <v>1303.7</v>
      </c>
      <c r="E196" s="651">
        <v>1400</v>
      </c>
      <c r="F196" s="651">
        <v>1500</v>
      </c>
      <c r="G196" s="651">
        <v>1800</v>
      </c>
      <c r="H196" s="651">
        <v>2100</v>
      </c>
      <c r="I196" s="651">
        <v>2400</v>
      </c>
      <c r="J196" s="252"/>
      <c r="K196" s="99"/>
      <c r="L196" s="538"/>
      <c r="M196" s="99"/>
      <c r="N196" s="99"/>
      <c r="O196" s="99"/>
      <c r="P196" s="99"/>
      <c r="Q196" s="109"/>
      <c r="R196" s="109"/>
      <c r="S196" s="109"/>
      <c r="T196" s="109"/>
      <c r="U196" s="109"/>
      <c r="V196" s="109"/>
      <c r="W196" s="109"/>
    </row>
    <row r="197" spans="1:23">
      <c r="A197" s="287"/>
      <c r="B197" s="649"/>
      <c r="C197" s="649"/>
      <c r="D197" s="649"/>
      <c r="E197" s="660"/>
      <c r="F197" s="660"/>
      <c r="G197" s="660"/>
      <c r="H197" s="660"/>
      <c r="I197" s="660"/>
      <c r="J197" s="252"/>
      <c r="K197" s="99"/>
      <c r="L197" s="538"/>
      <c r="M197" s="99"/>
      <c r="N197" s="99"/>
      <c r="O197" s="99"/>
      <c r="P197" s="99"/>
      <c r="Q197" s="109"/>
      <c r="R197" s="109"/>
      <c r="S197" s="109"/>
      <c r="T197" s="109"/>
      <c r="U197" s="109"/>
      <c r="V197" s="109"/>
      <c r="W197" s="109"/>
    </row>
    <row r="198" spans="1:23">
      <c r="A198" s="99" t="s">
        <v>136</v>
      </c>
      <c r="B198" s="287"/>
      <c r="C198" s="321"/>
      <c r="D198" s="321"/>
      <c r="E198" s="321"/>
      <c r="F198" s="321"/>
      <c r="G198" s="321"/>
      <c r="H198" s="321"/>
      <c r="I198" s="321"/>
      <c r="J198" s="321"/>
      <c r="K198" s="321"/>
      <c r="L198" s="321"/>
      <c r="M198" s="321"/>
      <c r="N198" s="321"/>
      <c r="O198" s="99"/>
      <c r="P198" s="99"/>
      <c r="Q198" s="109"/>
      <c r="R198" s="109"/>
      <c r="S198" s="109"/>
      <c r="T198" s="109"/>
      <c r="U198" s="109"/>
      <c r="V198" s="109"/>
      <c r="W198" s="109"/>
    </row>
    <row r="199" spans="1:23">
      <c r="A199" s="287" t="s">
        <v>137</v>
      </c>
      <c r="B199" s="265">
        <f>B196/Data!D27</f>
        <v>0.16676565600961887</v>
      </c>
      <c r="C199" s="265">
        <f t="shared" ref="C199:I199" si="97">C196/B208</f>
        <v>0.14917567237635085</v>
      </c>
      <c r="D199" s="265">
        <f t="shared" si="97"/>
        <v>0.15192690913752316</v>
      </c>
      <c r="E199" s="659">
        <f t="shared" si="97"/>
        <v>0.14520110352838683</v>
      </c>
      <c r="F199" s="659">
        <f t="shared" si="97"/>
        <v>0.13584741618214421</v>
      </c>
      <c r="G199" s="659">
        <f t="shared" si="97"/>
        <v>0.14352006888963306</v>
      </c>
      <c r="H199" s="659">
        <f t="shared" si="97"/>
        <v>0.1464251349203029</v>
      </c>
      <c r="I199" s="659">
        <f t="shared" si="97"/>
        <v>0.14596941940663433</v>
      </c>
      <c r="J199" s="99"/>
      <c r="K199" s="99"/>
      <c r="L199" s="99"/>
      <c r="M199" s="99"/>
      <c r="N199" s="99"/>
      <c r="O199" s="99"/>
      <c r="P199" s="99"/>
      <c r="Q199" s="109"/>
      <c r="R199" s="109"/>
      <c r="S199" s="109"/>
      <c r="T199" s="109"/>
      <c r="U199" s="109"/>
      <c r="V199" s="109"/>
      <c r="W199" s="109"/>
    </row>
    <row r="200" spans="1:23">
      <c r="A200" s="287" t="s">
        <v>17</v>
      </c>
      <c r="B200" s="265">
        <f>B196/Data!E65</f>
        <v>7.7434283100600007E-2</v>
      </c>
      <c r="C200" s="265">
        <f>C196/Data!F65</f>
        <v>7.058086795802479E-2</v>
      </c>
      <c r="D200" s="265">
        <f>D196/Data!G65</f>
        <v>6.8033210351359674E-2</v>
      </c>
      <c r="E200" s="659">
        <f>E196/E25</f>
        <v>6.4580571413793225E-2</v>
      </c>
      <c r="F200" s="659">
        <f>F196/F25</f>
        <v>6.3369996040365098E-2</v>
      </c>
      <c r="G200" s="659">
        <f>G196/G25</f>
        <v>6.8456248127540559E-2</v>
      </c>
      <c r="H200" s="659">
        <f>H196/H25</f>
        <v>7.2018038686641708E-2</v>
      </c>
      <c r="I200" s="659">
        <f>I196/I25</f>
        <v>7.4333954019436099E-2</v>
      </c>
      <c r="J200" s="224"/>
      <c r="K200" s="322"/>
      <c r="L200" s="322"/>
      <c r="M200" s="322"/>
      <c r="N200" s="322"/>
      <c r="O200" s="99"/>
      <c r="P200" s="99"/>
      <c r="Q200" s="109"/>
      <c r="R200" s="109"/>
      <c r="S200" s="109"/>
      <c r="T200" s="109"/>
      <c r="U200" s="109"/>
      <c r="V200" s="109"/>
      <c r="W200" s="109"/>
    </row>
    <row r="201" spans="1:23">
      <c r="A201" s="99"/>
      <c r="B201" s="99"/>
      <c r="C201" s="99"/>
      <c r="D201" s="98"/>
      <c r="E201" s="319"/>
      <c r="F201" s="320"/>
      <c r="G201" s="323"/>
      <c r="H201" s="323"/>
      <c r="I201" s="323"/>
      <c r="J201" s="322"/>
      <c r="K201" s="322"/>
      <c r="L201" s="322"/>
      <c r="M201" s="322"/>
      <c r="N201" s="322"/>
      <c r="O201" s="99"/>
      <c r="P201" s="99"/>
      <c r="Q201" s="109"/>
      <c r="R201" s="109"/>
      <c r="S201" s="109"/>
      <c r="T201" s="109"/>
      <c r="U201" s="109"/>
      <c r="V201" s="109"/>
      <c r="W201" s="109"/>
    </row>
    <row r="202" spans="1:23">
      <c r="A202" s="99"/>
      <c r="B202" s="99"/>
      <c r="C202" s="99"/>
      <c r="D202" s="319"/>
      <c r="E202" s="319"/>
      <c r="F202" s="319"/>
      <c r="G202" s="319"/>
      <c r="H202" s="319"/>
      <c r="I202" s="109"/>
      <c r="J202" s="99"/>
      <c r="K202" s="99"/>
      <c r="L202" s="99"/>
      <c r="M202" s="99"/>
      <c r="N202" s="99"/>
      <c r="O202" s="99"/>
      <c r="P202" s="99"/>
      <c r="Q202" s="99"/>
      <c r="R202" s="99"/>
      <c r="S202" s="99"/>
      <c r="T202" s="109"/>
      <c r="U202" s="109"/>
      <c r="V202" s="109"/>
      <c r="W202" s="109"/>
    </row>
    <row r="203" spans="1:23">
      <c r="A203" s="301" t="s">
        <v>123</v>
      </c>
      <c r="B203" s="183"/>
      <c r="C203" s="183"/>
      <c r="D203" s="309"/>
      <c r="E203" s="324" t="s">
        <v>124</v>
      </c>
      <c r="F203" s="311"/>
      <c r="G203" s="312"/>
      <c r="H203" s="312"/>
      <c r="I203" s="312"/>
      <c r="J203" s="99"/>
      <c r="K203" s="50" t="s">
        <v>396</v>
      </c>
      <c r="L203" s="99"/>
      <c r="M203" s="99"/>
      <c r="N203" s="99"/>
      <c r="O203" s="99"/>
      <c r="P203" s="99"/>
      <c r="Q203" s="99"/>
      <c r="R203" s="99"/>
      <c r="S203" s="99"/>
      <c r="T203" s="109"/>
      <c r="U203" s="109"/>
      <c r="V203" s="109"/>
      <c r="W203" s="109"/>
    </row>
    <row r="204" spans="1:23">
      <c r="A204" s="99"/>
      <c r="B204" s="99"/>
      <c r="C204" s="99"/>
      <c r="D204" s="319"/>
      <c r="E204" s="319"/>
      <c r="F204" s="319"/>
      <c r="G204" s="319"/>
      <c r="H204" s="319"/>
      <c r="I204" s="109"/>
      <c r="J204" s="99"/>
      <c r="K204" s="50" t="s">
        <v>397</v>
      </c>
      <c r="L204" s="99"/>
      <c r="M204" s="99"/>
      <c r="N204" s="99"/>
      <c r="O204" s="99"/>
      <c r="P204" s="99"/>
      <c r="Q204" s="99"/>
      <c r="R204" s="99"/>
      <c r="S204" s="99"/>
      <c r="T204" s="109"/>
      <c r="U204" s="109"/>
      <c r="V204" s="109"/>
      <c r="W204" s="109"/>
    </row>
    <row r="205" spans="1:23">
      <c r="A205" s="615" t="s">
        <v>153</v>
      </c>
      <c r="B205" s="313">
        <f>B192</f>
        <v>2013</v>
      </c>
      <c r="C205" s="313">
        <f t="shared" ref="C205:I205" si="98">C192</f>
        <v>2014</v>
      </c>
      <c r="D205" s="313">
        <f t="shared" si="98"/>
        <v>2015</v>
      </c>
      <c r="E205" s="500" t="str">
        <f t="shared" si="98"/>
        <v>Year +1</v>
      </c>
      <c r="F205" s="500" t="str">
        <f t="shared" si="98"/>
        <v>Year +2</v>
      </c>
      <c r="G205" s="500" t="str">
        <f t="shared" si="98"/>
        <v>Year +3</v>
      </c>
      <c r="H205" s="500" t="str">
        <f t="shared" si="98"/>
        <v>Year +4</v>
      </c>
      <c r="I205" s="500" t="str">
        <f t="shared" si="98"/>
        <v>Year +5</v>
      </c>
      <c r="J205" s="99"/>
      <c r="K205" s="326"/>
      <c r="L205" s="326"/>
      <c r="M205" s="326"/>
      <c r="N205" s="326"/>
      <c r="O205" s="326"/>
      <c r="P205" s="326"/>
      <c r="Q205" s="99"/>
      <c r="R205" s="99"/>
      <c r="S205" s="99"/>
      <c r="T205" s="109"/>
      <c r="U205" s="109"/>
      <c r="V205" s="109"/>
      <c r="W205" s="109"/>
    </row>
    <row r="206" spans="1:23">
      <c r="A206" s="327" t="s">
        <v>150</v>
      </c>
      <c r="B206" s="306"/>
      <c r="C206" s="306"/>
      <c r="D206" s="306"/>
      <c r="E206" s="637">
        <f>D208</f>
        <v>9641.7999999999993</v>
      </c>
      <c r="F206" s="637">
        <f>E208</f>
        <v>11041.8</v>
      </c>
      <c r="G206" s="637">
        <f>F208</f>
        <v>12541.8</v>
      </c>
      <c r="H206" s="637">
        <f>G208</f>
        <v>14341.8</v>
      </c>
      <c r="I206" s="637">
        <f>H208</f>
        <v>16441.8</v>
      </c>
      <c r="J206" s="99"/>
      <c r="K206" s="326"/>
      <c r="L206" s="326"/>
      <c r="M206" s="326"/>
      <c r="N206" s="326"/>
      <c r="O206" s="326"/>
      <c r="P206" s="326"/>
      <c r="Q206" s="99"/>
      <c r="R206" s="99"/>
      <c r="S206" s="99"/>
      <c r="T206" s="109"/>
      <c r="U206" s="109"/>
      <c r="V206" s="109"/>
      <c r="W206" s="109"/>
    </row>
    <row r="207" spans="1:23">
      <c r="A207" s="327" t="s">
        <v>152</v>
      </c>
      <c r="B207" s="306"/>
      <c r="C207" s="306"/>
      <c r="D207" s="306"/>
      <c r="E207" s="708">
        <f>E196</f>
        <v>1400</v>
      </c>
      <c r="F207" s="708">
        <f>F196</f>
        <v>1500</v>
      </c>
      <c r="G207" s="708">
        <f>G196</f>
        <v>1800</v>
      </c>
      <c r="H207" s="708">
        <f>H196</f>
        <v>2100</v>
      </c>
      <c r="I207" s="708">
        <f>I196</f>
        <v>2400</v>
      </c>
      <c r="J207" s="99"/>
      <c r="K207" s="326"/>
      <c r="L207" s="326"/>
      <c r="M207" s="326"/>
      <c r="N207" s="326"/>
      <c r="O207" s="326"/>
      <c r="P207" s="326"/>
      <c r="Q207" s="99"/>
      <c r="R207" s="99"/>
      <c r="S207" s="99"/>
      <c r="T207" s="109"/>
      <c r="U207" s="109"/>
      <c r="V207" s="109"/>
      <c r="W207" s="109"/>
    </row>
    <row r="208" spans="1:23">
      <c r="A208" s="307" t="s">
        <v>151</v>
      </c>
      <c r="B208" s="652">
        <f>Data!E27</f>
        <v>7782.1</v>
      </c>
      <c r="C208" s="652">
        <f>Data!F27</f>
        <v>8581.1</v>
      </c>
      <c r="D208" s="652">
        <f>Data!G27</f>
        <v>9641.7999999999993</v>
      </c>
      <c r="E208" s="653">
        <f>E206+E207</f>
        <v>11041.8</v>
      </c>
      <c r="F208" s="653">
        <f>F206+F207</f>
        <v>12541.8</v>
      </c>
      <c r="G208" s="653">
        <f>G206+G207</f>
        <v>14341.8</v>
      </c>
      <c r="H208" s="653">
        <f>H206+H207</f>
        <v>16441.8</v>
      </c>
      <c r="I208" s="653">
        <f>I206+I207</f>
        <v>18841.8</v>
      </c>
      <c r="J208" s="328"/>
      <c r="K208" s="329"/>
      <c r="L208" s="329"/>
      <c r="M208" s="329"/>
      <c r="N208" s="329"/>
      <c r="O208" s="329"/>
      <c r="P208" s="329"/>
      <c r="Q208" s="99"/>
      <c r="R208" s="99"/>
      <c r="S208" s="99"/>
      <c r="T208" s="109"/>
      <c r="U208" s="109"/>
      <c r="V208" s="109"/>
      <c r="W208" s="109"/>
    </row>
    <row r="209" spans="1:23">
      <c r="A209" s="305"/>
      <c r="B209" s="330"/>
      <c r="C209" s="330"/>
      <c r="D209" s="330"/>
      <c r="E209" s="330"/>
      <c r="F209" s="330"/>
      <c r="G209" s="330"/>
      <c r="H209" s="330"/>
      <c r="I209" s="330"/>
      <c r="J209" s="328"/>
      <c r="K209" s="329"/>
      <c r="L209" s="329"/>
      <c r="M209" s="329"/>
      <c r="N209" s="329"/>
      <c r="O209" s="329"/>
      <c r="P209" s="329"/>
      <c r="Q209" s="99"/>
      <c r="R209" s="99"/>
      <c r="S209" s="99"/>
      <c r="T209" s="109"/>
      <c r="U209" s="109"/>
      <c r="V209" s="109"/>
      <c r="W209" s="109"/>
    </row>
    <row r="210" spans="1:23">
      <c r="A210" s="325" t="s">
        <v>154</v>
      </c>
      <c r="B210" s="330"/>
      <c r="C210" s="330"/>
      <c r="D210" s="330"/>
      <c r="E210" s="330"/>
      <c r="F210" s="330"/>
      <c r="G210" s="330"/>
      <c r="H210" s="330"/>
      <c r="I210" s="330"/>
      <c r="J210" s="328"/>
      <c r="K210" s="329"/>
      <c r="L210" s="329"/>
      <c r="M210" s="329"/>
      <c r="N210" s="329"/>
      <c r="O210" s="329"/>
      <c r="P210" s="329"/>
      <c r="Q210" s="99"/>
      <c r="R210" s="99"/>
      <c r="S210" s="99"/>
      <c r="T210" s="109"/>
      <c r="U210" s="109"/>
      <c r="V210" s="109"/>
      <c r="W210" s="109"/>
    </row>
    <row r="211" spans="1:23">
      <c r="A211" s="325" t="s">
        <v>155</v>
      </c>
      <c r="B211" s="330"/>
      <c r="C211" s="330"/>
      <c r="D211" s="330"/>
      <c r="E211" s="654">
        <f>D213</f>
        <v>-5553.5</v>
      </c>
      <c r="F211" s="654">
        <f>E213</f>
        <v>-6657.68</v>
      </c>
      <c r="G211" s="654">
        <f>F213</f>
        <v>-7911.8600000000006</v>
      </c>
      <c r="H211" s="654">
        <f>G213</f>
        <v>-9346.0400000000009</v>
      </c>
      <c r="I211" s="654">
        <f>H213</f>
        <v>-10990.220000000001</v>
      </c>
      <c r="J211" s="328"/>
      <c r="K211" s="329"/>
      <c r="L211" s="329"/>
      <c r="M211" s="329"/>
      <c r="N211" s="329"/>
      <c r="O211" s="329"/>
      <c r="P211" s="329"/>
      <c r="Q211" s="99"/>
      <c r="R211" s="99"/>
      <c r="S211" s="99"/>
      <c r="T211" s="109"/>
      <c r="U211" s="109"/>
      <c r="V211" s="109"/>
      <c r="W211" s="109"/>
    </row>
    <row r="212" spans="1:23">
      <c r="A212" s="325" t="s">
        <v>157</v>
      </c>
      <c r="B212" s="330"/>
      <c r="C212" s="330"/>
      <c r="D212" s="330"/>
      <c r="E212" s="775">
        <f>-E228</f>
        <v>-1104.1799999999998</v>
      </c>
      <c r="F212" s="775">
        <f>-F228</f>
        <v>-1254.1799999999998</v>
      </c>
      <c r="G212" s="775">
        <f>-G228</f>
        <v>-1434.1799999999998</v>
      </c>
      <c r="H212" s="775">
        <f>-H228</f>
        <v>-1644.1799999999998</v>
      </c>
      <c r="I212" s="775">
        <f>-I228</f>
        <v>-1151.58</v>
      </c>
      <c r="J212" s="328"/>
      <c r="K212" s="329"/>
      <c r="L212" s="329"/>
      <c r="M212" s="329"/>
      <c r="N212" s="329"/>
      <c r="O212" s="329"/>
      <c r="P212" s="329"/>
      <c r="Q212" s="99"/>
      <c r="R212" s="99"/>
      <c r="S212" s="99"/>
      <c r="T212" s="109"/>
      <c r="U212" s="109"/>
      <c r="V212" s="109"/>
      <c r="W212" s="109"/>
    </row>
    <row r="213" spans="1:23">
      <c r="A213" s="109" t="s">
        <v>156</v>
      </c>
      <c r="B213" s="652">
        <f>Data!E28</f>
        <v>-4581.6000000000004</v>
      </c>
      <c r="C213" s="652">
        <f>Data!F28</f>
        <v>-5062.1000000000004</v>
      </c>
      <c r="D213" s="652">
        <f>Data!G28</f>
        <v>-5553.5</v>
      </c>
      <c r="E213" s="653">
        <f>E211+E212</f>
        <v>-6657.68</v>
      </c>
      <c r="F213" s="653">
        <f>F211+F212</f>
        <v>-7911.8600000000006</v>
      </c>
      <c r="G213" s="653">
        <f>G211+G212</f>
        <v>-9346.0400000000009</v>
      </c>
      <c r="H213" s="653">
        <f>H211+H212</f>
        <v>-10990.220000000001</v>
      </c>
      <c r="I213" s="653">
        <f>I211+I212</f>
        <v>-12141.800000000001</v>
      </c>
      <c r="J213" s="329"/>
      <c r="K213" s="329"/>
      <c r="L213" s="329"/>
      <c r="M213" s="329"/>
      <c r="N213" s="329"/>
      <c r="O213" s="329"/>
      <c r="P213" s="329"/>
      <c r="Q213" s="99"/>
      <c r="R213" s="99"/>
      <c r="S213" s="99"/>
      <c r="T213" s="109"/>
      <c r="U213" s="109"/>
      <c r="V213" s="109"/>
      <c r="W213" s="109"/>
    </row>
    <row r="214" spans="1:23">
      <c r="A214" s="109"/>
      <c r="B214" s="330"/>
      <c r="C214" s="330"/>
      <c r="D214" s="330"/>
      <c r="E214" s="331"/>
      <c r="F214" s="331"/>
      <c r="G214" s="331"/>
      <c r="H214" s="331"/>
      <c r="I214" s="331"/>
      <c r="J214" s="329"/>
      <c r="K214" s="329"/>
      <c r="L214" s="329"/>
      <c r="M214" s="329"/>
      <c r="N214" s="329"/>
      <c r="O214" s="329"/>
      <c r="P214" s="329"/>
      <c r="Q214" s="99"/>
      <c r="R214" s="99"/>
      <c r="S214" s="99"/>
      <c r="T214" s="109"/>
      <c r="U214" s="109"/>
      <c r="V214" s="109"/>
      <c r="W214" s="109"/>
    </row>
    <row r="215" spans="1:23">
      <c r="A215" s="325" t="s">
        <v>125</v>
      </c>
      <c r="B215" s="652">
        <f t="shared" ref="B215:I215" si="99">B208+B213</f>
        <v>3200.5</v>
      </c>
      <c r="C215" s="652">
        <f t="shared" si="99"/>
        <v>3519</v>
      </c>
      <c r="D215" s="652">
        <f t="shared" si="99"/>
        <v>4088.2999999999993</v>
      </c>
      <c r="E215" s="653">
        <f t="shared" si="99"/>
        <v>4384.119999999999</v>
      </c>
      <c r="F215" s="653">
        <f t="shared" si="99"/>
        <v>4629.9399999999987</v>
      </c>
      <c r="G215" s="653">
        <f t="shared" si="99"/>
        <v>4995.7599999999984</v>
      </c>
      <c r="H215" s="653">
        <f t="shared" si="99"/>
        <v>5451.5799999999981</v>
      </c>
      <c r="I215" s="653">
        <f t="shared" si="99"/>
        <v>6699.9999999999982</v>
      </c>
      <c r="J215" s="329"/>
      <c r="K215" s="329"/>
      <c r="L215" s="329"/>
      <c r="M215" s="329"/>
      <c r="N215" s="329"/>
      <c r="O215" s="329"/>
      <c r="P215" s="329"/>
      <c r="Q215" s="99"/>
      <c r="R215" s="99"/>
      <c r="S215" s="99"/>
      <c r="T215" s="109"/>
      <c r="U215" s="109"/>
      <c r="V215" s="109"/>
      <c r="W215" s="109"/>
    </row>
    <row r="216" spans="1:23">
      <c r="A216" s="325"/>
      <c r="B216" s="325"/>
      <c r="C216" s="325"/>
      <c r="D216" s="325"/>
      <c r="E216" s="109"/>
      <c r="F216" s="109"/>
      <c r="G216" s="332"/>
      <c r="H216" s="333"/>
      <c r="I216" s="333"/>
      <c r="J216" s="329"/>
      <c r="K216" s="329"/>
      <c r="L216" s="329"/>
      <c r="M216" s="329"/>
      <c r="N216" s="329"/>
      <c r="O216" s="329"/>
      <c r="P216" s="99"/>
      <c r="Q216" s="99"/>
      <c r="R216" s="99"/>
      <c r="S216" s="99"/>
      <c r="T216" s="109"/>
      <c r="U216" s="109"/>
      <c r="V216" s="109"/>
      <c r="W216" s="109"/>
    </row>
    <row r="217" spans="1:23">
      <c r="A217" s="325"/>
      <c r="B217" s="334"/>
      <c r="C217" s="335"/>
      <c r="D217" s="335"/>
      <c r="E217" s="336"/>
      <c r="F217" s="336"/>
      <c r="G217" s="109"/>
      <c r="H217" s="333"/>
      <c r="I217" s="333"/>
      <c r="J217" s="329"/>
      <c r="K217" s="109"/>
      <c r="L217" s="109"/>
      <c r="M217" s="109"/>
      <c r="N217" s="109"/>
      <c r="O217" s="109"/>
      <c r="P217" s="109"/>
      <c r="Q217" s="109"/>
      <c r="R217" s="109"/>
      <c r="S217" s="109"/>
      <c r="T217" s="109"/>
      <c r="U217" s="109"/>
      <c r="V217" s="109"/>
      <c r="W217" s="109"/>
    </row>
    <row r="218" spans="1:23">
      <c r="A218" s="325" t="s">
        <v>141</v>
      </c>
      <c r="B218" s="334"/>
      <c r="C218" s="335"/>
      <c r="D218" s="335"/>
      <c r="E218" s="336" t="s">
        <v>143</v>
      </c>
      <c r="F218" s="336"/>
      <c r="G218" s="109"/>
      <c r="H218" s="333"/>
      <c r="I218" s="333"/>
      <c r="J218" s="329"/>
      <c r="K218" s="109"/>
      <c r="L218" s="109"/>
      <c r="M218" s="109"/>
      <c r="N218" s="109"/>
      <c r="O218" s="109"/>
      <c r="P218" s="109"/>
      <c r="Q218" s="109"/>
      <c r="R218" s="109"/>
      <c r="S218" s="109"/>
      <c r="T218" s="109"/>
      <c r="U218" s="109"/>
      <c r="V218" s="109"/>
      <c r="W218" s="109"/>
    </row>
    <row r="219" spans="1:23">
      <c r="B219" s="109"/>
      <c r="C219" s="305" t="s">
        <v>142</v>
      </c>
      <c r="D219" s="635">
        <f>D208</f>
        <v>9641.7999999999993</v>
      </c>
      <c r="E219" s="637">
        <f>$D$219/$D$240</f>
        <v>964.18</v>
      </c>
      <c r="F219" s="637">
        <f>$D$219/$D$240</f>
        <v>964.18</v>
      </c>
      <c r="G219" s="637">
        <f>$D$219/$D$240</f>
        <v>964.18</v>
      </c>
      <c r="H219" s="637">
        <f>$D$219/$D$240</f>
        <v>964.18</v>
      </c>
      <c r="I219" s="637">
        <f>H220</f>
        <v>231.57999999999981</v>
      </c>
      <c r="J219" s="244"/>
      <c r="K219" s="337" t="s">
        <v>209</v>
      </c>
      <c r="L219" s="336"/>
      <c r="M219" s="336"/>
      <c r="N219" s="336"/>
      <c r="O219" s="336"/>
      <c r="P219" s="336"/>
      <c r="Q219" s="336"/>
      <c r="R219" s="336"/>
      <c r="S219" s="109"/>
      <c r="T219" s="109"/>
      <c r="U219" s="109"/>
      <c r="V219" s="109"/>
      <c r="W219" s="109"/>
    </row>
    <row r="220" spans="1:23">
      <c r="B220" s="109"/>
      <c r="C220" s="305" t="s">
        <v>126</v>
      </c>
      <c r="D220" s="635">
        <f>D215</f>
        <v>4088.2999999999993</v>
      </c>
      <c r="E220" s="637">
        <f>$D$215-E219</f>
        <v>3124.1199999999994</v>
      </c>
      <c r="F220" s="637">
        <f>E220-F219</f>
        <v>2159.9399999999996</v>
      </c>
      <c r="G220" s="637">
        <f>F220-G219</f>
        <v>1195.7599999999998</v>
      </c>
      <c r="H220" s="637">
        <f>G220-H219</f>
        <v>231.57999999999981</v>
      </c>
      <c r="I220" s="637">
        <f>H220-I219</f>
        <v>0</v>
      </c>
      <c r="J220" s="338"/>
      <c r="K220" s="17" t="s">
        <v>398</v>
      </c>
      <c r="L220" s="339"/>
      <c r="M220" s="339"/>
      <c r="N220" s="339"/>
      <c r="O220" s="339"/>
      <c r="P220" s="339"/>
      <c r="Q220" s="339"/>
      <c r="R220" s="339"/>
      <c r="S220" s="109"/>
      <c r="T220" s="109"/>
      <c r="U220" s="109"/>
      <c r="V220" s="109"/>
      <c r="W220" s="109"/>
    </row>
    <row r="221" spans="1:23">
      <c r="A221" s="340"/>
      <c r="B221" s="109"/>
      <c r="C221" s="109"/>
      <c r="D221" s="306"/>
      <c r="E221" s="306"/>
      <c r="F221" s="306"/>
      <c r="G221" s="306"/>
      <c r="H221" s="306"/>
      <c r="I221" s="306"/>
      <c r="J221" s="99"/>
      <c r="K221" s="109"/>
      <c r="L221" s="109"/>
      <c r="M221" s="109"/>
      <c r="N221" s="109"/>
      <c r="O221" s="109"/>
      <c r="P221" s="109"/>
      <c r="Q221" s="109"/>
      <c r="R221" s="109"/>
      <c r="S221" s="109"/>
      <c r="T221" s="109"/>
      <c r="U221" s="109"/>
      <c r="V221" s="109"/>
      <c r="W221" s="109"/>
    </row>
    <row r="222" spans="1:23">
      <c r="A222" s="109" t="s">
        <v>127</v>
      </c>
      <c r="B222" s="109"/>
      <c r="C222" s="109"/>
      <c r="D222" s="306"/>
      <c r="E222" s="306" t="s">
        <v>149</v>
      </c>
      <c r="F222" s="306"/>
      <c r="G222" s="306"/>
      <c r="H222" s="306"/>
      <c r="I222" s="306"/>
      <c r="J222" s="99"/>
      <c r="K222" s="109"/>
      <c r="L222" s="109"/>
      <c r="M222" s="109"/>
      <c r="N222" s="109"/>
      <c r="O222" s="109"/>
      <c r="P222" s="109"/>
      <c r="Q222" s="109"/>
      <c r="R222" s="109"/>
      <c r="S222" s="109"/>
      <c r="T222" s="109"/>
      <c r="U222" s="109"/>
      <c r="V222" s="109"/>
      <c r="W222" s="109"/>
    </row>
    <row r="223" spans="1:23">
      <c r="A223" s="109"/>
      <c r="C223" s="305" t="s">
        <v>144</v>
      </c>
      <c r="D223" s="635">
        <f>E196</f>
        <v>1400</v>
      </c>
      <c r="E223" s="635">
        <f>$D$223/$D$240</f>
        <v>140</v>
      </c>
      <c r="F223" s="635">
        <f>$D$223/$D$240</f>
        <v>140</v>
      </c>
      <c r="G223" s="635">
        <f>$D$223/$D$240</f>
        <v>140</v>
      </c>
      <c r="H223" s="635">
        <f>$D$223/$D$240</f>
        <v>140</v>
      </c>
      <c r="I223" s="635">
        <f>$D$223/$D$240</f>
        <v>140</v>
      </c>
      <c r="J223" s="246"/>
      <c r="K223" s="341" t="s">
        <v>208</v>
      </c>
      <c r="L223" s="50"/>
      <c r="M223" s="50"/>
      <c r="N223" s="268"/>
      <c r="O223" s="268"/>
      <c r="P223" s="268"/>
      <c r="Q223" s="268"/>
      <c r="R223" s="268"/>
      <c r="S223" s="99"/>
      <c r="T223" s="99"/>
      <c r="U223" s="109"/>
      <c r="V223" s="109"/>
      <c r="W223" s="109"/>
    </row>
    <row r="224" spans="1:23">
      <c r="A224" s="109"/>
      <c r="C224" s="305" t="s">
        <v>145</v>
      </c>
      <c r="D224" s="635">
        <f>F196</f>
        <v>1500</v>
      </c>
      <c r="E224" s="635"/>
      <c r="F224" s="635">
        <f>$D$224/$D$240</f>
        <v>150</v>
      </c>
      <c r="G224" s="635">
        <f>$D$224/$D$240</f>
        <v>150</v>
      </c>
      <c r="H224" s="635">
        <f>$D$224/$D$240</f>
        <v>150</v>
      </c>
      <c r="I224" s="635">
        <f>$D$224/$D$240</f>
        <v>150</v>
      </c>
      <c r="J224" s="246"/>
      <c r="K224" s="268"/>
      <c r="L224" s="50"/>
      <c r="M224" s="50"/>
      <c r="N224" s="268"/>
      <c r="O224" s="268"/>
      <c r="P224" s="268"/>
      <c r="Q224" s="268"/>
      <c r="R224" s="268"/>
      <c r="S224" s="99"/>
      <c r="T224" s="99"/>
      <c r="U224" s="109"/>
      <c r="V224" s="109"/>
      <c r="W224" s="109"/>
    </row>
    <row r="225" spans="1:23">
      <c r="A225" s="109"/>
      <c r="C225" s="305" t="s">
        <v>146</v>
      </c>
      <c r="D225" s="635">
        <f>G196</f>
        <v>1800</v>
      </c>
      <c r="E225" s="635"/>
      <c r="F225" s="635"/>
      <c r="G225" s="635">
        <f>$D$225/$D$240</f>
        <v>180</v>
      </c>
      <c r="H225" s="635">
        <f>$D$225/$D$240</f>
        <v>180</v>
      </c>
      <c r="I225" s="635">
        <f>$D$225/$D$240</f>
        <v>180</v>
      </c>
      <c r="J225" s="246"/>
      <c r="K225" s="268"/>
      <c r="L225" s="50"/>
      <c r="M225" s="50"/>
      <c r="N225" s="268"/>
      <c r="O225" s="268"/>
      <c r="P225" s="268"/>
      <c r="Q225" s="268"/>
      <c r="R225" s="268"/>
      <c r="S225" s="268"/>
      <c r="T225" s="99"/>
      <c r="U225" s="109"/>
      <c r="V225" s="109"/>
      <c r="W225" s="109"/>
    </row>
    <row r="226" spans="1:23">
      <c r="A226" s="109"/>
      <c r="C226" s="305" t="s">
        <v>147</v>
      </c>
      <c r="D226" s="635">
        <f>H196</f>
        <v>2100</v>
      </c>
      <c r="E226" s="635"/>
      <c r="F226" s="635"/>
      <c r="G226" s="635"/>
      <c r="H226" s="635">
        <f>$D$226/$D$240</f>
        <v>210</v>
      </c>
      <c r="I226" s="635">
        <f>$D$226/$D$240</f>
        <v>210</v>
      </c>
      <c r="J226" s="246"/>
      <c r="K226" s="268"/>
      <c r="L226" s="50"/>
      <c r="M226" s="50"/>
      <c r="N226" s="268"/>
      <c r="O226" s="268"/>
      <c r="P226" s="268"/>
      <c r="Q226" s="268"/>
      <c r="R226" s="268"/>
      <c r="S226" s="268"/>
      <c r="T226" s="99"/>
      <c r="U226" s="109"/>
      <c r="V226" s="109"/>
      <c r="W226" s="109"/>
    </row>
    <row r="227" spans="1:23">
      <c r="A227" s="109"/>
      <c r="C227" s="305" t="s">
        <v>148</v>
      </c>
      <c r="D227" s="635">
        <f>I196</f>
        <v>2400</v>
      </c>
      <c r="E227" s="635"/>
      <c r="F227" s="635"/>
      <c r="G227" s="635"/>
      <c r="H227" s="635"/>
      <c r="I227" s="635">
        <f>$D$227/$D$240</f>
        <v>240</v>
      </c>
      <c r="J227" s="246"/>
      <c r="K227" s="268"/>
      <c r="L227" s="50"/>
      <c r="M227" s="50"/>
      <c r="N227" s="268"/>
      <c r="O227" s="268"/>
      <c r="P227" s="268"/>
      <c r="Q227" s="268"/>
      <c r="R227" s="268"/>
      <c r="S227" s="268"/>
      <c r="T227" s="99"/>
      <c r="U227" s="109"/>
      <c r="V227" s="109"/>
      <c r="W227" s="109"/>
    </row>
    <row r="228" spans="1:23">
      <c r="A228" s="109" t="s">
        <v>128</v>
      </c>
      <c r="B228" s="109"/>
      <c r="C228" s="109"/>
      <c r="D228" s="635"/>
      <c r="E228" s="647">
        <f>E219+SUM(E223:E227)</f>
        <v>1104.1799999999998</v>
      </c>
      <c r="F228" s="647">
        <f>F219+SUM(F223:F227)</f>
        <v>1254.1799999999998</v>
      </c>
      <c r="G228" s="647">
        <f>G219+SUM(G223:G227)</f>
        <v>1434.1799999999998</v>
      </c>
      <c r="H228" s="647">
        <f>H219+SUM(H223:H227)</f>
        <v>1644.1799999999998</v>
      </c>
      <c r="I228" s="647">
        <f>I219+SUM(I223:I227)</f>
        <v>1151.58</v>
      </c>
      <c r="J228" s="246"/>
      <c r="K228" s="268"/>
      <c r="L228" s="50"/>
      <c r="M228" s="50"/>
      <c r="N228" s="268"/>
      <c r="O228" s="268"/>
      <c r="P228" s="268"/>
      <c r="Q228" s="268"/>
      <c r="R228" s="268"/>
      <c r="S228" s="99"/>
      <c r="T228" s="99"/>
      <c r="U228" s="109"/>
      <c r="V228" s="109"/>
      <c r="W228" s="109"/>
    </row>
    <row r="229" spans="1:23">
      <c r="A229" s="109"/>
      <c r="B229" s="109"/>
      <c r="C229" s="109"/>
      <c r="D229" s="109"/>
      <c r="E229" s="109"/>
      <c r="F229" s="109"/>
      <c r="G229" s="109"/>
      <c r="H229" s="109"/>
      <c r="I229" s="109"/>
      <c r="J229" s="99"/>
      <c r="K229" s="99"/>
      <c r="L229" s="50"/>
      <c r="M229" s="50"/>
      <c r="N229" s="99"/>
      <c r="O229" s="99"/>
      <c r="P229" s="99"/>
      <c r="Q229" s="99"/>
      <c r="R229" s="99"/>
      <c r="S229" s="99"/>
      <c r="T229" s="99"/>
      <c r="U229" s="109"/>
      <c r="V229" s="109"/>
      <c r="W229" s="109"/>
    </row>
    <row r="230" spans="1:23">
      <c r="A230" s="109"/>
      <c r="B230" s="109"/>
      <c r="C230" s="109"/>
      <c r="D230" s="305" t="s">
        <v>779</v>
      </c>
      <c r="E230" s="742">
        <f>E228*0.95</f>
        <v>1048.9709999999998</v>
      </c>
      <c r="F230" s="742">
        <f>F228*0.95</f>
        <v>1191.4709999999998</v>
      </c>
      <c r="G230" s="742">
        <f>G228*0.95</f>
        <v>1362.4709999999998</v>
      </c>
      <c r="H230" s="742">
        <f>H228*0.95</f>
        <v>1561.9709999999998</v>
      </c>
      <c r="I230" s="742">
        <f>I228*0.95</f>
        <v>1094.001</v>
      </c>
      <c r="J230" s="99"/>
      <c r="K230" s="99"/>
      <c r="L230" s="50"/>
      <c r="M230" s="50"/>
      <c r="N230" s="99"/>
      <c r="O230" s="99"/>
      <c r="P230" s="99"/>
      <c r="Q230" s="99"/>
      <c r="R230" s="99"/>
      <c r="S230" s="99"/>
      <c r="T230" s="99"/>
      <c r="U230" s="109"/>
      <c r="V230" s="109"/>
      <c r="W230" s="109"/>
    </row>
    <row r="231" spans="1:23">
      <c r="A231" s="109"/>
      <c r="B231" s="109"/>
      <c r="C231" s="109"/>
      <c r="D231" s="305" t="s">
        <v>780</v>
      </c>
      <c r="E231" s="742">
        <f>E228*0.05</f>
        <v>55.208999999999996</v>
      </c>
      <c r="F231" s="742">
        <f>F228*0.05</f>
        <v>62.708999999999996</v>
      </c>
      <c r="G231" s="742">
        <f>G228*0.05</f>
        <v>71.708999999999989</v>
      </c>
      <c r="H231" s="742">
        <f>H228*0.05</f>
        <v>82.209000000000003</v>
      </c>
      <c r="I231" s="742">
        <f>I228*0.05</f>
        <v>57.579000000000001</v>
      </c>
      <c r="J231" s="99"/>
      <c r="K231" s="99"/>
      <c r="L231" s="50"/>
      <c r="M231" s="50"/>
      <c r="N231" s="99"/>
      <c r="O231" s="99"/>
      <c r="P231" s="99"/>
      <c r="Q231" s="99"/>
      <c r="R231" s="99"/>
      <c r="S231" s="99"/>
      <c r="T231" s="99"/>
      <c r="U231" s="109"/>
      <c r="V231" s="109"/>
      <c r="W231" s="109"/>
    </row>
    <row r="232" spans="1:23">
      <c r="A232" s="109"/>
      <c r="B232" s="109"/>
      <c r="C232" s="109"/>
      <c r="D232" s="109"/>
      <c r="E232" s="109"/>
      <c r="F232" s="109"/>
      <c r="G232" s="109"/>
      <c r="H232" s="109"/>
      <c r="I232" s="109"/>
      <c r="J232" s="99"/>
      <c r="K232" s="99"/>
      <c r="L232" s="50"/>
      <c r="M232" s="50"/>
      <c r="N232" s="99"/>
      <c r="O232" s="99"/>
      <c r="P232" s="99"/>
      <c r="Q232" s="99"/>
      <c r="R232" s="99"/>
      <c r="S232" s="99"/>
      <c r="T232" s="99"/>
      <c r="U232" s="109"/>
      <c r="V232" s="109"/>
      <c r="W232" s="109"/>
    </row>
    <row r="233" spans="1:23">
      <c r="A233" s="109"/>
      <c r="B233" s="109"/>
      <c r="C233" s="109"/>
      <c r="D233" s="109"/>
      <c r="E233" s="109"/>
      <c r="F233" s="109"/>
      <c r="G233" s="109"/>
      <c r="H233" s="109"/>
      <c r="I233" s="109"/>
      <c r="J233" s="99"/>
      <c r="K233" s="99"/>
      <c r="L233" s="50"/>
      <c r="M233" s="50"/>
      <c r="N233" s="99"/>
      <c r="O233" s="99"/>
      <c r="P233" s="99"/>
      <c r="Q233" s="99"/>
      <c r="R233" s="99"/>
      <c r="S233" s="99"/>
      <c r="T233" s="99"/>
      <c r="U233" s="109"/>
      <c r="V233" s="109"/>
      <c r="W233" s="109"/>
    </row>
    <row r="234" spans="1:23">
      <c r="A234" s="109" t="s">
        <v>129</v>
      </c>
      <c r="B234" s="342">
        <f>B205</f>
        <v>2013</v>
      </c>
      <c r="C234" s="342">
        <f>C205</f>
        <v>2014</v>
      </c>
      <c r="D234" s="342">
        <f>D205</f>
        <v>2015</v>
      </c>
      <c r="G234" s="109"/>
      <c r="H234" s="109"/>
      <c r="I234" s="109"/>
      <c r="J234" s="99"/>
      <c r="K234" s="99"/>
      <c r="L234" s="99"/>
      <c r="M234" s="99"/>
      <c r="N234" s="99"/>
      <c r="O234" s="268"/>
      <c r="P234" s="99"/>
      <c r="Q234" s="99"/>
      <c r="R234" s="99"/>
      <c r="S234" s="99"/>
      <c r="T234" s="99"/>
      <c r="U234" s="109"/>
      <c r="V234" s="109"/>
      <c r="W234" s="109"/>
    </row>
    <row r="235" spans="1:23">
      <c r="B235" s="109"/>
      <c r="C235" s="109"/>
      <c r="D235" s="109"/>
      <c r="G235" s="109"/>
      <c r="H235" s="109"/>
      <c r="I235" s="109"/>
      <c r="J235" s="99"/>
      <c r="K235" s="99"/>
      <c r="L235" s="99"/>
      <c r="M235" s="99"/>
      <c r="N235" s="99"/>
      <c r="O235" s="322"/>
      <c r="P235" s="99"/>
      <c r="Q235" s="99"/>
      <c r="R235" s="99"/>
      <c r="S235" s="99"/>
      <c r="T235" s="99"/>
      <c r="U235" s="109"/>
      <c r="V235" s="109"/>
      <c r="W235" s="99"/>
    </row>
    <row r="236" spans="1:23">
      <c r="A236" s="109" t="s">
        <v>237</v>
      </c>
      <c r="B236" s="634">
        <f>B208</f>
        <v>7782.1</v>
      </c>
      <c r="C236" s="634">
        <f>C208</f>
        <v>8581.1</v>
      </c>
      <c r="D236" s="634">
        <f>D208</f>
        <v>9641.7999999999993</v>
      </c>
      <c r="G236" s="109"/>
      <c r="H236" s="109"/>
      <c r="I236" s="109"/>
      <c r="J236" s="99"/>
      <c r="K236" s="50" t="s">
        <v>207</v>
      </c>
      <c r="L236" s="99"/>
      <c r="M236" s="99"/>
      <c r="N236" s="99"/>
      <c r="O236" s="99"/>
      <c r="P236" s="99"/>
      <c r="Q236" s="99"/>
      <c r="R236" s="99"/>
      <c r="S236" s="99"/>
      <c r="T236" s="99"/>
      <c r="U236" s="109"/>
      <c r="V236" s="109"/>
      <c r="W236" s="99"/>
    </row>
    <row r="237" spans="1:23">
      <c r="A237" s="109" t="s">
        <v>138</v>
      </c>
      <c r="B237" s="635"/>
      <c r="C237" s="635">
        <f>(B236+C236)/2</f>
        <v>8181.6</v>
      </c>
      <c r="D237" s="635">
        <f>(C236+D236)/2</f>
        <v>9111.4500000000007</v>
      </c>
      <c r="G237" s="343"/>
      <c r="H237" s="97"/>
      <c r="I237" s="97"/>
      <c r="J237" s="99"/>
      <c r="K237" s="99"/>
      <c r="L237" s="99"/>
      <c r="M237" s="99"/>
      <c r="N237" s="99"/>
      <c r="O237" s="99"/>
      <c r="P237" s="99"/>
      <c r="Q237" s="99"/>
      <c r="R237" s="99"/>
      <c r="S237" s="99"/>
      <c r="T237" s="99"/>
      <c r="U237" s="97"/>
      <c r="V237" s="97"/>
      <c r="W237" s="99"/>
    </row>
    <row r="238" spans="1:23">
      <c r="A238" s="109" t="s">
        <v>130</v>
      </c>
      <c r="B238" s="635">
        <f>Data!E145</f>
        <v>647.9</v>
      </c>
      <c r="C238" s="635">
        <f>Data!F145</f>
        <v>739.69999999999993</v>
      </c>
      <c r="D238" s="635">
        <f>Data!G145</f>
        <v>883.8</v>
      </c>
      <c r="G238" s="97"/>
      <c r="H238" s="97"/>
      <c r="I238" s="97"/>
      <c r="J238" s="99"/>
      <c r="K238" s="97"/>
      <c r="L238" s="97"/>
      <c r="M238" s="97"/>
      <c r="N238" s="97"/>
      <c r="O238" s="97"/>
      <c r="P238" s="97"/>
      <c r="Q238" s="97"/>
      <c r="R238" s="97"/>
      <c r="S238" s="97"/>
      <c r="T238" s="97"/>
      <c r="U238" s="97"/>
      <c r="V238" s="97"/>
      <c r="W238" s="314"/>
    </row>
    <row r="239" spans="1:23">
      <c r="A239" s="109" t="s">
        <v>238</v>
      </c>
      <c r="B239" s="344"/>
      <c r="C239" s="344">
        <f>C237/C238</f>
        <v>11.06070028389888</v>
      </c>
      <c r="D239" s="344">
        <f>D237/D238</f>
        <v>10.309402579769181</v>
      </c>
      <c r="G239" s="109"/>
      <c r="H239" s="109"/>
      <c r="I239" s="109"/>
      <c r="J239" s="99"/>
      <c r="K239" s="109"/>
      <c r="L239" s="109"/>
      <c r="M239" s="109"/>
      <c r="N239" s="109"/>
      <c r="O239" s="109"/>
      <c r="P239" s="109"/>
      <c r="Q239" s="109"/>
      <c r="R239" s="109"/>
      <c r="S239" s="109"/>
      <c r="T239" s="109"/>
      <c r="U239" s="109"/>
      <c r="V239" s="109"/>
      <c r="W239" s="99"/>
    </row>
    <row r="240" spans="1:23">
      <c r="A240" s="109" t="s">
        <v>140</v>
      </c>
      <c r="B240" s="109"/>
      <c r="C240" s="109" t="s">
        <v>139</v>
      </c>
      <c r="D240" s="345">
        <v>10</v>
      </c>
      <c r="E240" s="109"/>
      <c r="F240" s="109"/>
      <c r="G240" s="109"/>
      <c r="H240" s="109"/>
      <c r="I240" s="109"/>
      <c r="J240" s="99"/>
      <c r="K240" s="109"/>
      <c r="L240" s="109"/>
      <c r="M240" s="109"/>
      <c r="N240" s="109"/>
      <c r="O240" s="109"/>
      <c r="P240" s="109"/>
      <c r="Q240" s="109"/>
      <c r="R240" s="109"/>
      <c r="S240" s="109"/>
      <c r="T240" s="109"/>
      <c r="U240" s="109"/>
      <c r="V240" s="109"/>
      <c r="W240" s="99"/>
    </row>
    <row r="241" spans="1:23">
      <c r="B241" s="97"/>
      <c r="C241" s="97"/>
      <c r="E241" s="109"/>
      <c r="F241" s="109"/>
      <c r="G241" s="109"/>
      <c r="H241" s="109"/>
      <c r="I241" s="109"/>
      <c r="J241" s="99"/>
      <c r="K241" s="109"/>
      <c r="L241" s="109"/>
      <c r="M241" s="109"/>
      <c r="N241" s="109"/>
      <c r="O241" s="109"/>
      <c r="P241" s="109"/>
      <c r="Q241" s="109"/>
      <c r="R241" s="109"/>
      <c r="S241" s="109"/>
      <c r="T241" s="109"/>
      <c r="U241" s="109"/>
      <c r="V241" s="109"/>
      <c r="W241" s="99"/>
    </row>
    <row r="242" spans="1:23">
      <c r="E242" s="97"/>
      <c r="F242" s="97"/>
      <c r="G242" s="97"/>
      <c r="H242" s="97"/>
      <c r="I242" s="97"/>
      <c r="J242" s="99"/>
      <c r="K242" s="97"/>
      <c r="L242" s="97"/>
      <c r="M242" s="97"/>
      <c r="N242" s="97"/>
      <c r="O242" s="97"/>
      <c r="P242" s="97"/>
      <c r="Q242" s="97"/>
      <c r="R242" s="97"/>
      <c r="S242" s="97"/>
      <c r="T242" s="97"/>
      <c r="U242" s="97"/>
      <c r="V242" s="97"/>
      <c r="W242" s="99"/>
    </row>
    <row r="243" spans="1:23">
      <c r="J243" s="50"/>
    </row>
    <row r="244" spans="1:23">
      <c r="J244" s="50"/>
    </row>
    <row r="245" spans="1:23">
      <c r="A245" s="301" t="s">
        <v>846</v>
      </c>
      <c r="B245" s="183"/>
      <c r="C245" s="183"/>
      <c r="D245" s="309"/>
      <c r="E245" s="670"/>
      <c r="F245" s="319"/>
      <c r="G245" s="99"/>
      <c r="H245" s="99"/>
      <c r="I245" s="99"/>
      <c r="J245" s="50"/>
    </row>
    <row r="246" spans="1:23">
      <c r="J246" s="50"/>
    </row>
    <row r="247" spans="1:23" ht="51">
      <c r="A247" s="667" t="s">
        <v>841</v>
      </c>
      <c r="B247" s="667" t="s">
        <v>840</v>
      </c>
      <c r="C247" s="667" t="s">
        <v>843</v>
      </c>
      <c r="D247" s="667" t="s">
        <v>844</v>
      </c>
      <c r="E247" s="667" t="s">
        <v>845</v>
      </c>
      <c r="F247" s="667"/>
      <c r="H247" s="667"/>
    </row>
    <row r="248" spans="1:23">
      <c r="A248" s="665" t="s">
        <v>833</v>
      </c>
      <c r="B248" s="666">
        <v>400</v>
      </c>
      <c r="C248" s="664">
        <f t="shared" ref="C248:C255" si="100">B248/$B$255</f>
        <v>0.11940298507462686</v>
      </c>
      <c r="D248" s="671">
        <v>8.7500000000000008E-3</v>
      </c>
      <c r="E248" s="672">
        <f t="shared" ref="E248:E254" si="101">C248*D248</f>
        <v>1.0447761194029852E-3</v>
      </c>
      <c r="F248"/>
    </row>
    <row r="249" spans="1:23">
      <c r="A249" s="665" t="s">
        <v>834</v>
      </c>
      <c r="B249" s="666">
        <v>350</v>
      </c>
      <c r="C249" s="664">
        <f t="shared" si="100"/>
        <v>0.1044776119402985</v>
      </c>
      <c r="D249" s="671">
        <v>0.02</v>
      </c>
      <c r="E249" s="672">
        <f t="shared" si="101"/>
        <v>2.08955223880597E-3</v>
      </c>
      <c r="F249"/>
    </row>
    <row r="250" spans="1:23">
      <c r="A250" s="665" t="s">
        <v>835</v>
      </c>
      <c r="B250" s="666">
        <v>500</v>
      </c>
      <c r="C250" s="664">
        <f t="shared" si="100"/>
        <v>0.14925373134328357</v>
      </c>
      <c r="D250" s="671">
        <v>2.1000000000000001E-2</v>
      </c>
      <c r="E250" s="672">
        <f t="shared" si="101"/>
        <v>3.1343283582089551E-3</v>
      </c>
      <c r="F250"/>
    </row>
    <row r="251" spans="1:23">
      <c r="A251" s="665" t="s">
        <v>836</v>
      </c>
      <c r="B251" s="666">
        <v>500</v>
      </c>
      <c r="C251" s="664">
        <f t="shared" si="100"/>
        <v>0.14925373134328357</v>
      </c>
      <c r="D251" s="671">
        <v>2.7E-2</v>
      </c>
      <c r="E251" s="672">
        <f t="shared" si="101"/>
        <v>4.029850746268656E-3</v>
      </c>
      <c r="F251"/>
    </row>
    <row r="252" spans="1:23">
      <c r="A252" s="665" t="s">
        <v>837</v>
      </c>
      <c r="B252" s="666">
        <v>750</v>
      </c>
      <c r="C252" s="664">
        <f t="shared" si="100"/>
        <v>0.22388059701492538</v>
      </c>
      <c r="D252" s="671">
        <v>3.85E-2</v>
      </c>
      <c r="E252" s="672">
        <f t="shared" si="101"/>
        <v>8.6194029850746277E-3</v>
      </c>
      <c r="F252"/>
    </row>
    <row r="253" spans="1:23">
      <c r="A253" s="665" t="s">
        <v>838</v>
      </c>
      <c r="B253" s="666">
        <v>500</v>
      </c>
      <c r="C253" s="664">
        <f t="shared" si="100"/>
        <v>0.14925373134328357</v>
      </c>
      <c r="D253" s="671">
        <v>2.4500000000000001E-2</v>
      </c>
      <c r="E253" s="672">
        <f t="shared" si="101"/>
        <v>3.6567164179104475E-3</v>
      </c>
      <c r="F253"/>
    </row>
    <row r="254" spans="1:23">
      <c r="A254" s="665" t="s">
        <v>839</v>
      </c>
      <c r="B254" s="666">
        <v>350</v>
      </c>
      <c r="C254" s="664">
        <f t="shared" si="100"/>
        <v>0.1044776119402985</v>
      </c>
      <c r="D254" s="671">
        <v>4.2999999999999997E-2</v>
      </c>
      <c r="E254" s="672">
        <f t="shared" si="101"/>
        <v>4.4925373134328357E-3</v>
      </c>
      <c r="F254"/>
    </row>
    <row r="255" spans="1:23">
      <c r="A255" s="305" t="s">
        <v>842</v>
      </c>
      <c r="B255" s="668">
        <f>SUM(B248:B254)</f>
        <v>3350</v>
      </c>
      <c r="C255" s="669">
        <f t="shared" si="100"/>
        <v>1</v>
      </c>
      <c r="D255"/>
      <c r="E255" s="673">
        <f>SUM(E248:E254)</f>
        <v>2.7067164179104476E-2</v>
      </c>
      <c r="F255"/>
    </row>
    <row r="257" spans="1:1021 1025:2045 2049:3069 3073:4093 4097:5117 5121:6141 6145:7165 7169:8189 8193:9213 9217:10237 10241:11261 11265:12285 12289:13309 13313:14333 14337:15357 15361:16381">
      <c r="D257" s="665" t="s">
        <v>847</v>
      </c>
      <c r="E257" s="674">
        <f>E255</f>
        <v>2.7067164179104476E-2</v>
      </c>
    </row>
    <row r="261" spans="1:1021 1025:2045 2049:3069 3073:4093 4097:5117 5121:6141 6145:7165 7169:8189 8193:9213 9217:10237 10241:11261 11265:12285 12289:13309 13313:14333 14337:15357 15361:16381">
      <c r="A261" s="301" t="s">
        <v>848</v>
      </c>
      <c r="B261" s="183"/>
      <c r="C261" s="183"/>
      <c r="D261" s="309"/>
      <c r="E261" s="324" t="s">
        <v>849</v>
      </c>
      <c r="F261" s="311"/>
      <c r="G261" s="312"/>
      <c r="H261" s="312"/>
      <c r="I261" s="312"/>
    </row>
    <row r="263" spans="1:1021 1025:2045 2049:3069 3073:4093 4097:5117 5121:6141 6145:7165 7169:8189 8193:9213 9217:10237 10241:11261 11265:12285 12289:13309 13313:14333 14337:15357 15361:16381" s="330" customFormat="1">
      <c r="A263" s="615"/>
      <c r="B263" s="313">
        <f t="shared" ref="B263:I263" si="102">B205</f>
        <v>2013</v>
      </c>
      <c r="C263" s="313">
        <f t="shared" si="102"/>
        <v>2014</v>
      </c>
      <c r="D263" s="500">
        <f t="shared" si="102"/>
        <v>2015</v>
      </c>
      <c r="E263" s="500" t="str">
        <f t="shared" si="102"/>
        <v>Year +1</v>
      </c>
      <c r="F263" s="500" t="str">
        <f t="shared" si="102"/>
        <v>Year +2</v>
      </c>
      <c r="G263" s="500" t="str">
        <f t="shared" si="102"/>
        <v>Year +3</v>
      </c>
      <c r="H263" s="500" t="str">
        <f t="shared" si="102"/>
        <v>Year +4</v>
      </c>
      <c r="I263" s="500" t="str">
        <f t="shared" si="102"/>
        <v>Year +5</v>
      </c>
      <c r="M263" s="305"/>
      <c r="Q263" s="305"/>
      <c r="U263" s="305"/>
      <c r="Y263" s="305"/>
      <c r="AC263" s="305"/>
      <c r="AG263" s="305"/>
      <c r="AK263" s="305"/>
      <c r="AO263" s="305"/>
      <c r="AS263" s="305"/>
      <c r="AW263" s="305"/>
      <c r="BA263" s="305"/>
      <c r="BE263" s="305"/>
      <c r="BI263" s="305"/>
      <c r="BM263" s="305"/>
      <c r="BQ263" s="305"/>
      <c r="BU263" s="305"/>
      <c r="BY263" s="305"/>
      <c r="CC263" s="305"/>
      <c r="CG263" s="305"/>
      <c r="CK263" s="305"/>
      <c r="CO263" s="305"/>
      <c r="CS263" s="305"/>
      <c r="CW263" s="305"/>
      <c r="DA263" s="305"/>
      <c r="DE263" s="305"/>
      <c r="DI263" s="305"/>
      <c r="DM263" s="305"/>
      <c r="DQ263" s="305"/>
      <c r="DU263" s="305"/>
      <c r="DY263" s="305"/>
      <c r="EC263" s="305"/>
      <c r="EG263" s="305"/>
      <c r="EK263" s="305"/>
      <c r="EO263" s="305"/>
      <c r="ES263" s="305"/>
      <c r="EW263" s="305"/>
      <c r="FA263" s="305"/>
      <c r="FE263" s="305"/>
      <c r="FI263" s="305"/>
      <c r="FM263" s="305"/>
      <c r="FQ263" s="305"/>
      <c r="FU263" s="305"/>
      <c r="FY263" s="305"/>
      <c r="GC263" s="305"/>
      <c r="GG263" s="305"/>
      <c r="GK263" s="305"/>
      <c r="GO263" s="305"/>
      <c r="GS263" s="305"/>
      <c r="GW263" s="305"/>
      <c r="HA263" s="305"/>
      <c r="HE263" s="305"/>
      <c r="HI263" s="305"/>
      <c r="HM263" s="305"/>
      <c r="HQ263" s="305"/>
      <c r="HU263" s="305"/>
      <c r="HY263" s="305"/>
      <c r="IC263" s="305"/>
      <c r="IG263" s="305"/>
      <c r="IK263" s="305"/>
      <c r="IO263" s="305"/>
      <c r="IS263" s="305"/>
      <c r="IW263" s="305"/>
      <c r="JA263" s="305"/>
      <c r="JE263" s="305"/>
      <c r="JI263" s="305"/>
      <c r="JM263" s="305"/>
      <c r="JQ263" s="305"/>
      <c r="JU263" s="305"/>
      <c r="JY263" s="305"/>
      <c r="KC263" s="305"/>
      <c r="KG263" s="305"/>
      <c r="KK263" s="305"/>
      <c r="KO263" s="305"/>
      <c r="KS263" s="305"/>
      <c r="KW263" s="305"/>
      <c r="LA263" s="305"/>
      <c r="LE263" s="305"/>
      <c r="LI263" s="305"/>
      <c r="LM263" s="305"/>
      <c r="LQ263" s="305"/>
      <c r="LU263" s="305"/>
      <c r="LY263" s="305"/>
      <c r="MC263" s="305"/>
      <c r="MG263" s="305"/>
      <c r="MK263" s="305"/>
      <c r="MO263" s="305"/>
      <c r="MS263" s="305"/>
      <c r="MW263" s="305"/>
      <c r="NA263" s="305"/>
      <c r="NE263" s="305"/>
      <c r="NI263" s="305"/>
      <c r="NM263" s="305"/>
      <c r="NQ263" s="305"/>
      <c r="NU263" s="305"/>
      <c r="NY263" s="305"/>
      <c r="OC263" s="305"/>
      <c r="OG263" s="305"/>
      <c r="OK263" s="305"/>
      <c r="OO263" s="305"/>
      <c r="OS263" s="305"/>
      <c r="OW263" s="305"/>
      <c r="PA263" s="305"/>
      <c r="PE263" s="305"/>
      <c r="PI263" s="305"/>
      <c r="PM263" s="305"/>
      <c r="PQ263" s="305"/>
      <c r="PU263" s="305"/>
      <c r="PY263" s="305"/>
      <c r="QC263" s="305"/>
      <c r="QG263" s="305"/>
      <c r="QK263" s="305"/>
      <c r="QO263" s="305"/>
      <c r="QS263" s="305"/>
      <c r="QW263" s="305"/>
      <c r="RA263" s="305"/>
      <c r="RE263" s="305"/>
      <c r="RI263" s="305"/>
      <c r="RM263" s="305"/>
      <c r="RQ263" s="305"/>
      <c r="RU263" s="305"/>
      <c r="RY263" s="305"/>
      <c r="SC263" s="305"/>
      <c r="SG263" s="305"/>
      <c r="SK263" s="305"/>
      <c r="SO263" s="305"/>
      <c r="SS263" s="305"/>
      <c r="SW263" s="305"/>
      <c r="TA263" s="305"/>
      <c r="TE263" s="305"/>
      <c r="TI263" s="305"/>
      <c r="TM263" s="305"/>
      <c r="TQ263" s="305"/>
      <c r="TU263" s="305"/>
      <c r="TY263" s="305"/>
      <c r="UC263" s="305"/>
      <c r="UG263" s="305"/>
      <c r="UK263" s="305"/>
      <c r="UO263" s="305"/>
      <c r="US263" s="305"/>
      <c r="UW263" s="305"/>
      <c r="VA263" s="305"/>
      <c r="VE263" s="305"/>
      <c r="VI263" s="305"/>
      <c r="VM263" s="305"/>
      <c r="VQ263" s="305"/>
      <c r="VU263" s="305"/>
      <c r="VY263" s="305"/>
      <c r="WC263" s="305"/>
      <c r="WG263" s="305"/>
      <c r="WK263" s="305"/>
      <c r="WO263" s="305"/>
      <c r="WS263" s="305"/>
      <c r="WW263" s="305"/>
      <c r="XA263" s="305"/>
      <c r="XE263" s="305"/>
      <c r="XI263" s="305"/>
      <c r="XM263" s="305"/>
      <c r="XQ263" s="305"/>
      <c r="XU263" s="305"/>
      <c r="XY263" s="305"/>
      <c r="YC263" s="305"/>
      <c r="YG263" s="305"/>
      <c r="YK263" s="305"/>
      <c r="YO263" s="305"/>
      <c r="YS263" s="305"/>
      <c r="YW263" s="305"/>
      <c r="ZA263" s="305"/>
      <c r="ZE263" s="305"/>
      <c r="ZI263" s="305"/>
      <c r="ZM263" s="305"/>
      <c r="ZQ263" s="305"/>
      <c r="ZU263" s="305"/>
      <c r="ZY263" s="305"/>
      <c r="AAC263" s="305"/>
      <c r="AAG263" s="305"/>
      <c r="AAK263" s="305"/>
      <c r="AAO263" s="305"/>
      <c r="AAS263" s="305"/>
      <c r="AAW263" s="305"/>
      <c r="ABA263" s="305"/>
      <c r="ABE263" s="305"/>
      <c r="ABI263" s="305"/>
      <c r="ABM263" s="305"/>
      <c r="ABQ263" s="305"/>
      <c r="ABU263" s="305"/>
      <c r="ABY263" s="305"/>
      <c r="ACC263" s="305"/>
      <c r="ACG263" s="305"/>
      <c r="ACK263" s="305"/>
      <c r="ACO263" s="305"/>
      <c r="ACS263" s="305"/>
      <c r="ACW263" s="305"/>
      <c r="ADA263" s="305"/>
      <c r="ADE263" s="305"/>
      <c r="ADI263" s="305"/>
      <c r="ADM263" s="305"/>
      <c r="ADQ263" s="305"/>
      <c r="ADU263" s="305"/>
      <c r="ADY263" s="305"/>
      <c r="AEC263" s="305"/>
      <c r="AEG263" s="305"/>
      <c r="AEK263" s="305"/>
      <c r="AEO263" s="305"/>
      <c r="AES263" s="305"/>
      <c r="AEW263" s="305"/>
      <c r="AFA263" s="305"/>
      <c r="AFE263" s="305"/>
      <c r="AFI263" s="305"/>
      <c r="AFM263" s="305"/>
      <c r="AFQ263" s="305"/>
      <c r="AFU263" s="305"/>
      <c r="AFY263" s="305"/>
      <c r="AGC263" s="305"/>
      <c r="AGG263" s="305"/>
      <c r="AGK263" s="305"/>
      <c r="AGO263" s="305"/>
      <c r="AGS263" s="305"/>
      <c r="AGW263" s="305"/>
      <c r="AHA263" s="305"/>
      <c r="AHE263" s="305"/>
      <c r="AHI263" s="305"/>
      <c r="AHM263" s="305"/>
      <c r="AHQ263" s="305"/>
      <c r="AHU263" s="305"/>
      <c r="AHY263" s="305"/>
      <c r="AIC263" s="305"/>
      <c r="AIG263" s="305"/>
      <c r="AIK263" s="305"/>
      <c r="AIO263" s="305"/>
      <c r="AIS263" s="305"/>
      <c r="AIW263" s="305"/>
      <c r="AJA263" s="305"/>
      <c r="AJE263" s="305"/>
      <c r="AJI263" s="305"/>
      <c r="AJM263" s="305"/>
      <c r="AJQ263" s="305"/>
      <c r="AJU263" s="305"/>
      <c r="AJY263" s="305"/>
      <c r="AKC263" s="305"/>
      <c r="AKG263" s="305"/>
      <c r="AKK263" s="305"/>
      <c r="AKO263" s="305"/>
      <c r="AKS263" s="305"/>
      <c r="AKW263" s="305"/>
      <c r="ALA263" s="305"/>
      <c r="ALE263" s="305"/>
      <c r="ALI263" s="305"/>
      <c r="ALM263" s="305"/>
      <c r="ALQ263" s="305"/>
      <c r="ALU263" s="305"/>
      <c r="ALY263" s="305"/>
      <c r="AMC263" s="305"/>
      <c r="AMG263" s="305"/>
      <c r="AMK263" s="305"/>
      <c r="AMO263" s="305"/>
      <c r="AMS263" s="305"/>
      <c r="AMW263" s="305"/>
      <c r="ANA263" s="305"/>
      <c r="ANE263" s="305"/>
      <c r="ANI263" s="305"/>
      <c r="ANM263" s="305"/>
      <c r="ANQ263" s="305"/>
      <c r="ANU263" s="305"/>
      <c r="ANY263" s="305"/>
      <c r="AOC263" s="305"/>
      <c r="AOG263" s="305"/>
      <c r="AOK263" s="305"/>
      <c r="AOO263" s="305"/>
      <c r="AOS263" s="305"/>
      <c r="AOW263" s="305"/>
      <c r="APA263" s="305"/>
      <c r="APE263" s="305"/>
      <c r="API263" s="305"/>
      <c r="APM263" s="305"/>
      <c r="APQ263" s="305"/>
      <c r="APU263" s="305"/>
      <c r="APY263" s="305"/>
      <c r="AQC263" s="305"/>
      <c r="AQG263" s="305"/>
      <c r="AQK263" s="305"/>
      <c r="AQO263" s="305"/>
      <c r="AQS263" s="305"/>
      <c r="AQW263" s="305"/>
      <c r="ARA263" s="305"/>
      <c r="ARE263" s="305"/>
      <c r="ARI263" s="305"/>
      <c r="ARM263" s="305"/>
      <c r="ARQ263" s="305"/>
      <c r="ARU263" s="305"/>
      <c r="ARY263" s="305"/>
      <c r="ASC263" s="305"/>
      <c r="ASG263" s="305"/>
      <c r="ASK263" s="305"/>
      <c r="ASO263" s="305"/>
      <c r="ASS263" s="305"/>
      <c r="ASW263" s="305"/>
      <c r="ATA263" s="305"/>
      <c r="ATE263" s="305"/>
      <c r="ATI263" s="305"/>
      <c r="ATM263" s="305"/>
      <c r="ATQ263" s="305"/>
      <c r="ATU263" s="305"/>
      <c r="ATY263" s="305"/>
      <c r="AUC263" s="305"/>
      <c r="AUG263" s="305"/>
      <c r="AUK263" s="305"/>
      <c r="AUO263" s="305"/>
      <c r="AUS263" s="305"/>
      <c r="AUW263" s="305"/>
      <c r="AVA263" s="305"/>
      <c r="AVE263" s="305"/>
      <c r="AVI263" s="305"/>
      <c r="AVM263" s="305"/>
      <c r="AVQ263" s="305"/>
      <c r="AVU263" s="305"/>
      <c r="AVY263" s="305"/>
      <c r="AWC263" s="305"/>
      <c r="AWG263" s="305"/>
      <c r="AWK263" s="305"/>
      <c r="AWO263" s="305"/>
      <c r="AWS263" s="305"/>
      <c r="AWW263" s="305"/>
      <c r="AXA263" s="305"/>
      <c r="AXE263" s="305"/>
      <c r="AXI263" s="305"/>
      <c r="AXM263" s="305"/>
      <c r="AXQ263" s="305"/>
      <c r="AXU263" s="305"/>
      <c r="AXY263" s="305"/>
      <c r="AYC263" s="305"/>
      <c r="AYG263" s="305"/>
      <c r="AYK263" s="305"/>
      <c r="AYO263" s="305"/>
      <c r="AYS263" s="305"/>
      <c r="AYW263" s="305"/>
      <c r="AZA263" s="305"/>
      <c r="AZE263" s="305"/>
      <c r="AZI263" s="305"/>
      <c r="AZM263" s="305"/>
      <c r="AZQ263" s="305"/>
      <c r="AZU263" s="305"/>
      <c r="AZY263" s="305"/>
      <c r="BAC263" s="305"/>
      <c r="BAG263" s="305"/>
      <c r="BAK263" s="305"/>
      <c r="BAO263" s="305"/>
      <c r="BAS263" s="305"/>
      <c r="BAW263" s="305"/>
      <c r="BBA263" s="305"/>
      <c r="BBE263" s="305"/>
      <c r="BBI263" s="305"/>
      <c r="BBM263" s="305"/>
      <c r="BBQ263" s="305"/>
      <c r="BBU263" s="305"/>
      <c r="BBY263" s="305"/>
      <c r="BCC263" s="305"/>
      <c r="BCG263" s="305"/>
      <c r="BCK263" s="305"/>
      <c r="BCO263" s="305"/>
      <c r="BCS263" s="305"/>
      <c r="BCW263" s="305"/>
      <c r="BDA263" s="305"/>
      <c r="BDE263" s="305"/>
      <c r="BDI263" s="305"/>
      <c r="BDM263" s="305"/>
      <c r="BDQ263" s="305"/>
      <c r="BDU263" s="305"/>
      <c r="BDY263" s="305"/>
      <c r="BEC263" s="305"/>
      <c r="BEG263" s="305"/>
      <c r="BEK263" s="305"/>
      <c r="BEO263" s="305"/>
      <c r="BES263" s="305"/>
      <c r="BEW263" s="305"/>
      <c r="BFA263" s="305"/>
      <c r="BFE263" s="305"/>
      <c r="BFI263" s="305"/>
      <c r="BFM263" s="305"/>
      <c r="BFQ263" s="305"/>
      <c r="BFU263" s="305"/>
      <c r="BFY263" s="305"/>
      <c r="BGC263" s="305"/>
      <c r="BGG263" s="305"/>
      <c r="BGK263" s="305"/>
      <c r="BGO263" s="305"/>
      <c r="BGS263" s="305"/>
      <c r="BGW263" s="305"/>
      <c r="BHA263" s="305"/>
      <c r="BHE263" s="305"/>
      <c r="BHI263" s="305"/>
      <c r="BHM263" s="305"/>
      <c r="BHQ263" s="305"/>
      <c r="BHU263" s="305"/>
      <c r="BHY263" s="305"/>
      <c r="BIC263" s="305"/>
      <c r="BIG263" s="305"/>
      <c r="BIK263" s="305"/>
      <c r="BIO263" s="305"/>
      <c r="BIS263" s="305"/>
      <c r="BIW263" s="305"/>
      <c r="BJA263" s="305"/>
      <c r="BJE263" s="305"/>
      <c r="BJI263" s="305"/>
      <c r="BJM263" s="305"/>
      <c r="BJQ263" s="305"/>
      <c r="BJU263" s="305"/>
      <c r="BJY263" s="305"/>
      <c r="BKC263" s="305"/>
      <c r="BKG263" s="305"/>
      <c r="BKK263" s="305"/>
      <c r="BKO263" s="305"/>
      <c r="BKS263" s="305"/>
      <c r="BKW263" s="305"/>
      <c r="BLA263" s="305"/>
      <c r="BLE263" s="305"/>
      <c r="BLI263" s="305"/>
      <c r="BLM263" s="305"/>
      <c r="BLQ263" s="305"/>
      <c r="BLU263" s="305"/>
      <c r="BLY263" s="305"/>
      <c r="BMC263" s="305"/>
      <c r="BMG263" s="305"/>
      <c r="BMK263" s="305"/>
      <c r="BMO263" s="305"/>
      <c r="BMS263" s="305"/>
      <c r="BMW263" s="305"/>
      <c r="BNA263" s="305"/>
      <c r="BNE263" s="305"/>
      <c r="BNI263" s="305"/>
      <c r="BNM263" s="305"/>
      <c r="BNQ263" s="305"/>
      <c r="BNU263" s="305"/>
      <c r="BNY263" s="305"/>
      <c r="BOC263" s="305"/>
      <c r="BOG263" s="305"/>
      <c r="BOK263" s="305"/>
      <c r="BOO263" s="305"/>
      <c r="BOS263" s="305"/>
      <c r="BOW263" s="305"/>
      <c r="BPA263" s="305"/>
      <c r="BPE263" s="305"/>
      <c r="BPI263" s="305"/>
      <c r="BPM263" s="305"/>
      <c r="BPQ263" s="305"/>
      <c r="BPU263" s="305"/>
      <c r="BPY263" s="305"/>
      <c r="BQC263" s="305"/>
      <c r="BQG263" s="305"/>
      <c r="BQK263" s="305"/>
      <c r="BQO263" s="305"/>
      <c r="BQS263" s="305"/>
      <c r="BQW263" s="305"/>
      <c r="BRA263" s="305"/>
      <c r="BRE263" s="305"/>
      <c r="BRI263" s="305"/>
      <c r="BRM263" s="305"/>
      <c r="BRQ263" s="305"/>
      <c r="BRU263" s="305"/>
      <c r="BRY263" s="305"/>
      <c r="BSC263" s="305"/>
      <c r="BSG263" s="305"/>
      <c r="BSK263" s="305"/>
      <c r="BSO263" s="305"/>
      <c r="BSS263" s="305"/>
      <c r="BSW263" s="305"/>
      <c r="BTA263" s="305"/>
      <c r="BTE263" s="305"/>
      <c r="BTI263" s="305"/>
      <c r="BTM263" s="305"/>
      <c r="BTQ263" s="305"/>
      <c r="BTU263" s="305"/>
      <c r="BTY263" s="305"/>
      <c r="BUC263" s="305"/>
      <c r="BUG263" s="305"/>
      <c r="BUK263" s="305"/>
      <c r="BUO263" s="305"/>
      <c r="BUS263" s="305"/>
      <c r="BUW263" s="305"/>
      <c r="BVA263" s="305"/>
      <c r="BVE263" s="305"/>
      <c r="BVI263" s="305"/>
      <c r="BVM263" s="305"/>
      <c r="BVQ263" s="305"/>
      <c r="BVU263" s="305"/>
      <c r="BVY263" s="305"/>
      <c r="BWC263" s="305"/>
      <c r="BWG263" s="305"/>
      <c r="BWK263" s="305"/>
      <c r="BWO263" s="305"/>
      <c r="BWS263" s="305"/>
      <c r="BWW263" s="305"/>
      <c r="BXA263" s="305"/>
      <c r="BXE263" s="305"/>
      <c r="BXI263" s="305"/>
      <c r="BXM263" s="305"/>
      <c r="BXQ263" s="305"/>
      <c r="BXU263" s="305"/>
      <c r="BXY263" s="305"/>
      <c r="BYC263" s="305"/>
      <c r="BYG263" s="305"/>
      <c r="BYK263" s="305"/>
      <c r="BYO263" s="305"/>
      <c r="BYS263" s="305"/>
      <c r="BYW263" s="305"/>
      <c r="BZA263" s="305"/>
      <c r="BZE263" s="305"/>
      <c r="BZI263" s="305"/>
      <c r="BZM263" s="305"/>
      <c r="BZQ263" s="305"/>
      <c r="BZU263" s="305"/>
      <c r="BZY263" s="305"/>
      <c r="CAC263" s="305"/>
      <c r="CAG263" s="305"/>
      <c r="CAK263" s="305"/>
      <c r="CAO263" s="305"/>
      <c r="CAS263" s="305"/>
      <c r="CAW263" s="305"/>
      <c r="CBA263" s="305"/>
      <c r="CBE263" s="305"/>
      <c r="CBI263" s="305"/>
      <c r="CBM263" s="305"/>
      <c r="CBQ263" s="305"/>
      <c r="CBU263" s="305"/>
      <c r="CBY263" s="305"/>
      <c r="CCC263" s="305"/>
      <c r="CCG263" s="305"/>
      <c r="CCK263" s="305"/>
      <c r="CCO263" s="305"/>
      <c r="CCS263" s="305"/>
      <c r="CCW263" s="305"/>
      <c r="CDA263" s="305"/>
      <c r="CDE263" s="305"/>
      <c r="CDI263" s="305"/>
      <c r="CDM263" s="305"/>
      <c r="CDQ263" s="305"/>
      <c r="CDU263" s="305"/>
      <c r="CDY263" s="305"/>
      <c r="CEC263" s="305"/>
      <c r="CEG263" s="305"/>
      <c r="CEK263" s="305"/>
      <c r="CEO263" s="305"/>
      <c r="CES263" s="305"/>
      <c r="CEW263" s="305"/>
      <c r="CFA263" s="305"/>
      <c r="CFE263" s="305"/>
      <c r="CFI263" s="305"/>
      <c r="CFM263" s="305"/>
      <c r="CFQ263" s="305"/>
      <c r="CFU263" s="305"/>
      <c r="CFY263" s="305"/>
      <c r="CGC263" s="305"/>
      <c r="CGG263" s="305"/>
      <c r="CGK263" s="305"/>
      <c r="CGO263" s="305"/>
      <c r="CGS263" s="305"/>
      <c r="CGW263" s="305"/>
      <c r="CHA263" s="305"/>
      <c r="CHE263" s="305"/>
      <c r="CHI263" s="305"/>
      <c r="CHM263" s="305"/>
      <c r="CHQ263" s="305"/>
      <c r="CHU263" s="305"/>
      <c r="CHY263" s="305"/>
      <c r="CIC263" s="305"/>
      <c r="CIG263" s="305"/>
      <c r="CIK263" s="305"/>
      <c r="CIO263" s="305"/>
      <c r="CIS263" s="305"/>
      <c r="CIW263" s="305"/>
      <c r="CJA263" s="305"/>
      <c r="CJE263" s="305"/>
      <c r="CJI263" s="305"/>
      <c r="CJM263" s="305"/>
      <c r="CJQ263" s="305"/>
      <c r="CJU263" s="305"/>
      <c r="CJY263" s="305"/>
      <c r="CKC263" s="305"/>
      <c r="CKG263" s="305"/>
      <c r="CKK263" s="305"/>
      <c r="CKO263" s="305"/>
      <c r="CKS263" s="305"/>
      <c r="CKW263" s="305"/>
      <c r="CLA263" s="305"/>
      <c r="CLE263" s="305"/>
      <c r="CLI263" s="305"/>
      <c r="CLM263" s="305"/>
      <c r="CLQ263" s="305"/>
      <c r="CLU263" s="305"/>
      <c r="CLY263" s="305"/>
      <c r="CMC263" s="305"/>
      <c r="CMG263" s="305"/>
      <c r="CMK263" s="305"/>
      <c r="CMO263" s="305"/>
      <c r="CMS263" s="305"/>
      <c r="CMW263" s="305"/>
      <c r="CNA263" s="305"/>
      <c r="CNE263" s="305"/>
      <c r="CNI263" s="305"/>
      <c r="CNM263" s="305"/>
      <c r="CNQ263" s="305"/>
      <c r="CNU263" s="305"/>
      <c r="CNY263" s="305"/>
      <c r="COC263" s="305"/>
      <c r="COG263" s="305"/>
      <c r="COK263" s="305"/>
      <c r="COO263" s="305"/>
      <c r="COS263" s="305"/>
      <c r="COW263" s="305"/>
      <c r="CPA263" s="305"/>
      <c r="CPE263" s="305"/>
      <c r="CPI263" s="305"/>
      <c r="CPM263" s="305"/>
      <c r="CPQ263" s="305"/>
      <c r="CPU263" s="305"/>
      <c r="CPY263" s="305"/>
      <c r="CQC263" s="305"/>
      <c r="CQG263" s="305"/>
      <c r="CQK263" s="305"/>
      <c r="CQO263" s="305"/>
      <c r="CQS263" s="305"/>
      <c r="CQW263" s="305"/>
      <c r="CRA263" s="305"/>
      <c r="CRE263" s="305"/>
      <c r="CRI263" s="305"/>
      <c r="CRM263" s="305"/>
      <c r="CRQ263" s="305"/>
      <c r="CRU263" s="305"/>
      <c r="CRY263" s="305"/>
      <c r="CSC263" s="305"/>
      <c r="CSG263" s="305"/>
      <c r="CSK263" s="305"/>
      <c r="CSO263" s="305"/>
      <c r="CSS263" s="305"/>
      <c r="CSW263" s="305"/>
      <c r="CTA263" s="305"/>
      <c r="CTE263" s="305"/>
      <c r="CTI263" s="305"/>
      <c r="CTM263" s="305"/>
      <c r="CTQ263" s="305"/>
      <c r="CTU263" s="305"/>
      <c r="CTY263" s="305"/>
      <c r="CUC263" s="305"/>
      <c r="CUG263" s="305"/>
      <c r="CUK263" s="305"/>
      <c r="CUO263" s="305"/>
      <c r="CUS263" s="305"/>
      <c r="CUW263" s="305"/>
      <c r="CVA263" s="305"/>
      <c r="CVE263" s="305"/>
      <c r="CVI263" s="305"/>
      <c r="CVM263" s="305"/>
      <c r="CVQ263" s="305"/>
      <c r="CVU263" s="305"/>
      <c r="CVY263" s="305"/>
      <c r="CWC263" s="305"/>
      <c r="CWG263" s="305"/>
      <c r="CWK263" s="305"/>
      <c r="CWO263" s="305"/>
      <c r="CWS263" s="305"/>
      <c r="CWW263" s="305"/>
      <c r="CXA263" s="305"/>
      <c r="CXE263" s="305"/>
      <c r="CXI263" s="305"/>
      <c r="CXM263" s="305"/>
      <c r="CXQ263" s="305"/>
      <c r="CXU263" s="305"/>
      <c r="CXY263" s="305"/>
      <c r="CYC263" s="305"/>
      <c r="CYG263" s="305"/>
      <c r="CYK263" s="305"/>
      <c r="CYO263" s="305"/>
      <c r="CYS263" s="305"/>
      <c r="CYW263" s="305"/>
      <c r="CZA263" s="305"/>
      <c r="CZE263" s="305"/>
      <c r="CZI263" s="305"/>
      <c r="CZM263" s="305"/>
      <c r="CZQ263" s="305"/>
      <c r="CZU263" s="305"/>
      <c r="CZY263" s="305"/>
      <c r="DAC263" s="305"/>
      <c r="DAG263" s="305"/>
      <c r="DAK263" s="305"/>
      <c r="DAO263" s="305"/>
      <c r="DAS263" s="305"/>
      <c r="DAW263" s="305"/>
      <c r="DBA263" s="305"/>
      <c r="DBE263" s="305"/>
      <c r="DBI263" s="305"/>
      <c r="DBM263" s="305"/>
      <c r="DBQ263" s="305"/>
      <c r="DBU263" s="305"/>
      <c r="DBY263" s="305"/>
      <c r="DCC263" s="305"/>
      <c r="DCG263" s="305"/>
      <c r="DCK263" s="305"/>
      <c r="DCO263" s="305"/>
      <c r="DCS263" s="305"/>
      <c r="DCW263" s="305"/>
      <c r="DDA263" s="305"/>
      <c r="DDE263" s="305"/>
      <c r="DDI263" s="305"/>
      <c r="DDM263" s="305"/>
      <c r="DDQ263" s="305"/>
      <c r="DDU263" s="305"/>
      <c r="DDY263" s="305"/>
      <c r="DEC263" s="305"/>
      <c r="DEG263" s="305"/>
      <c r="DEK263" s="305"/>
      <c r="DEO263" s="305"/>
      <c r="DES263" s="305"/>
      <c r="DEW263" s="305"/>
      <c r="DFA263" s="305"/>
      <c r="DFE263" s="305"/>
      <c r="DFI263" s="305"/>
      <c r="DFM263" s="305"/>
      <c r="DFQ263" s="305"/>
      <c r="DFU263" s="305"/>
      <c r="DFY263" s="305"/>
      <c r="DGC263" s="305"/>
      <c r="DGG263" s="305"/>
      <c r="DGK263" s="305"/>
      <c r="DGO263" s="305"/>
      <c r="DGS263" s="305"/>
      <c r="DGW263" s="305"/>
      <c r="DHA263" s="305"/>
      <c r="DHE263" s="305"/>
      <c r="DHI263" s="305"/>
      <c r="DHM263" s="305"/>
      <c r="DHQ263" s="305"/>
      <c r="DHU263" s="305"/>
      <c r="DHY263" s="305"/>
      <c r="DIC263" s="305"/>
      <c r="DIG263" s="305"/>
      <c r="DIK263" s="305"/>
      <c r="DIO263" s="305"/>
      <c r="DIS263" s="305"/>
      <c r="DIW263" s="305"/>
      <c r="DJA263" s="305"/>
      <c r="DJE263" s="305"/>
      <c r="DJI263" s="305"/>
      <c r="DJM263" s="305"/>
      <c r="DJQ263" s="305"/>
      <c r="DJU263" s="305"/>
      <c r="DJY263" s="305"/>
      <c r="DKC263" s="305"/>
      <c r="DKG263" s="305"/>
      <c r="DKK263" s="305"/>
      <c r="DKO263" s="305"/>
      <c r="DKS263" s="305"/>
      <c r="DKW263" s="305"/>
      <c r="DLA263" s="305"/>
      <c r="DLE263" s="305"/>
      <c r="DLI263" s="305"/>
      <c r="DLM263" s="305"/>
      <c r="DLQ263" s="305"/>
      <c r="DLU263" s="305"/>
      <c r="DLY263" s="305"/>
      <c r="DMC263" s="305"/>
      <c r="DMG263" s="305"/>
      <c r="DMK263" s="305"/>
      <c r="DMO263" s="305"/>
      <c r="DMS263" s="305"/>
      <c r="DMW263" s="305"/>
      <c r="DNA263" s="305"/>
      <c r="DNE263" s="305"/>
      <c r="DNI263" s="305"/>
      <c r="DNM263" s="305"/>
      <c r="DNQ263" s="305"/>
      <c r="DNU263" s="305"/>
      <c r="DNY263" s="305"/>
      <c r="DOC263" s="305"/>
      <c r="DOG263" s="305"/>
      <c r="DOK263" s="305"/>
      <c r="DOO263" s="305"/>
      <c r="DOS263" s="305"/>
      <c r="DOW263" s="305"/>
      <c r="DPA263" s="305"/>
      <c r="DPE263" s="305"/>
      <c r="DPI263" s="305"/>
      <c r="DPM263" s="305"/>
      <c r="DPQ263" s="305"/>
      <c r="DPU263" s="305"/>
      <c r="DPY263" s="305"/>
      <c r="DQC263" s="305"/>
      <c r="DQG263" s="305"/>
      <c r="DQK263" s="305"/>
      <c r="DQO263" s="305"/>
      <c r="DQS263" s="305"/>
      <c r="DQW263" s="305"/>
      <c r="DRA263" s="305"/>
      <c r="DRE263" s="305"/>
      <c r="DRI263" s="305"/>
      <c r="DRM263" s="305"/>
      <c r="DRQ263" s="305"/>
      <c r="DRU263" s="305"/>
      <c r="DRY263" s="305"/>
      <c r="DSC263" s="305"/>
      <c r="DSG263" s="305"/>
      <c r="DSK263" s="305"/>
      <c r="DSO263" s="305"/>
      <c r="DSS263" s="305"/>
      <c r="DSW263" s="305"/>
      <c r="DTA263" s="305"/>
      <c r="DTE263" s="305"/>
      <c r="DTI263" s="305"/>
      <c r="DTM263" s="305"/>
      <c r="DTQ263" s="305"/>
      <c r="DTU263" s="305"/>
      <c r="DTY263" s="305"/>
      <c r="DUC263" s="305"/>
      <c r="DUG263" s="305"/>
      <c r="DUK263" s="305"/>
      <c r="DUO263" s="305"/>
      <c r="DUS263" s="305"/>
      <c r="DUW263" s="305"/>
      <c r="DVA263" s="305"/>
      <c r="DVE263" s="305"/>
      <c r="DVI263" s="305"/>
      <c r="DVM263" s="305"/>
      <c r="DVQ263" s="305"/>
      <c r="DVU263" s="305"/>
      <c r="DVY263" s="305"/>
      <c r="DWC263" s="305"/>
      <c r="DWG263" s="305"/>
      <c r="DWK263" s="305"/>
      <c r="DWO263" s="305"/>
      <c r="DWS263" s="305"/>
      <c r="DWW263" s="305"/>
      <c r="DXA263" s="305"/>
      <c r="DXE263" s="305"/>
      <c r="DXI263" s="305"/>
      <c r="DXM263" s="305"/>
      <c r="DXQ263" s="305"/>
      <c r="DXU263" s="305"/>
      <c r="DXY263" s="305"/>
      <c r="DYC263" s="305"/>
      <c r="DYG263" s="305"/>
      <c r="DYK263" s="305"/>
      <c r="DYO263" s="305"/>
      <c r="DYS263" s="305"/>
      <c r="DYW263" s="305"/>
      <c r="DZA263" s="305"/>
      <c r="DZE263" s="305"/>
      <c r="DZI263" s="305"/>
      <c r="DZM263" s="305"/>
      <c r="DZQ263" s="305"/>
      <c r="DZU263" s="305"/>
      <c r="DZY263" s="305"/>
      <c r="EAC263" s="305"/>
      <c r="EAG263" s="305"/>
      <c r="EAK263" s="305"/>
      <c r="EAO263" s="305"/>
      <c r="EAS263" s="305"/>
      <c r="EAW263" s="305"/>
      <c r="EBA263" s="305"/>
      <c r="EBE263" s="305"/>
      <c r="EBI263" s="305"/>
      <c r="EBM263" s="305"/>
      <c r="EBQ263" s="305"/>
      <c r="EBU263" s="305"/>
      <c r="EBY263" s="305"/>
      <c r="ECC263" s="305"/>
      <c r="ECG263" s="305"/>
      <c r="ECK263" s="305"/>
      <c r="ECO263" s="305"/>
      <c r="ECS263" s="305"/>
      <c r="ECW263" s="305"/>
      <c r="EDA263" s="305"/>
      <c r="EDE263" s="305"/>
      <c r="EDI263" s="305"/>
      <c r="EDM263" s="305"/>
      <c r="EDQ263" s="305"/>
      <c r="EDU263" s="305"/>
      <c r="EDY263" s="305"/>
      <c r="EEC263" s="305"/>
      <c r="EEG263" s="305"/>
      <c r="EEK263" s="305"/>
      <c r="EEO263" s="305"/>
      <c r="EES263" s="305"/>
      <c r="EEW263" s="305"/>
      <c r="EFA263" s="305"/>
      <c r="EFE263" s="305"/>
      <c r="EFI263" s="305"/>
      <c r="EFM263" s="305"/>
      <c r="EFQ263" s="305"/>
      <c r="EFU263" s="305"/>
      <c r="EFY263" s="305"/>
      <c r="EGC263" s="305"/>
      <c r="EGG263" s="305"/>
      <c r="EGK263" s="305"/>
      <c r="EGO263" s="305"/>
      <c r="EGS263" s="305"/>
      <c r="EGW263" s="305"/>
      <c r="EHA263" s="305"/>
      <c r="EHE263" s="305"/>
      <c r="EHI263" s="305"/>
      <c r="EHM263" s="305"/>
      <c r="EHQ263" s="305"/>
      <c r="EHU263" s="305"/>
      <c r="EHY263" s="305"/>
      <c r="EIC263" s="305"/>
      <c r="EIG263" s="305"/>
      <c r="EIK263" s="305"/>
      <c r="EIO263" s="305"/>
      <c r="EIS263" s="305"/>
      <c r="EIW263" s="305"/>
      <c r="EJA263" s="305"/>
      <c r="EJE263" s="305"/>
      <c r="EJI263" s="305"/>
      <c r="EJM263" s="305"/>
      <c r="EJQ263" s="305"/>
      <c r="EJU263" s="305"/>
      <c r="EJY263" s="305"/>
      <c r="EKC263" s="305"/>
      <c r="EKG263" s="305"/>
      <c r="EKK263" s="305"/>
      <c r="EKO263" s="305"/>
      <c r="EKS263" s="305"/>
      <c r="EKW263" s="305"/>
      <c r="ELA263" s="305"/>
      <c r="ELE263" s="305"/>
      <c r="ELI263" s="305"/>
      <c r="ELM263" s="305"/>
      <c r="ELQ263" s="305"/>
      <c r="ELU263" s="305"/>
      <c r="ELY263" s="305"/>
      <c r="EMC263" s="305"/>
      <c r="EMG263" s="305"/>
      <c r="EMK263" s="305"/>
      <c r="EMO263" s="305"/>
      <c r="EMS263" s="305"/>
      <c r="EMW263" s="305"/>
      <c r="ENA263" s="305"/>
      <c r="ENE263" s="305"/>
      <c r="ENI263" s="305"/>
      <c r="ENM263" s="305"/>
      <c r="ENQ263" s="305"/>
      <c r="ENU263" s="305"/>
      <c r="ENY263" s="305"/>
      <c r="EOC263" s="305"/>
      <c r="EOG263" s="305"/>
      <c r="EOK263" s="305"/>
      <c r="EOO263" s="305"/>
      <c r="EOS263" s="305"/>
      <c r="EOW263" s="305"/>
      <c r="EPA263" s="305"/>
      <c r="EPE263" s="305"/>
      <c r="EPI263" s="305"/>
      <c r="EPM263" s="305"/>
      <c r="EPQ263" s="305"/>
      <c r="EPU263" s="305"/>
      <c r="EPY263" s="305"/>
      <c r="EQC263" s="305"/>
      <c r="EQG263" s="305"/>
      <c r="EQK263" s="305"/>
      <c r="EQO263" s="305"/>
      <c r="EQS263" s="305"/>
      <c r="EQW263" s="305"/>
      <c r="ERA263" s="305"/>
      <c r="ERE263" s="305"/>
      <c r="ERI263" s="305"/>
      <c r="ERM263" s="305"/>
      <c r="ERQ263" s="305"/>
      <c r="ERU263" s="305"/>
      <c r="ERY263" s="305"/>
      <c r="ESC263" s="305"/>
      <c r="ESG263" s="305"/>
      <c r="ESK263" s="305"/>
      <c r="ESO263" s="305"/>
      <c r="ESS263" s="305"/>
      <c r="ESW263" s="305"/>
      <c r="ETA263" s="305"/>
      <c r="ETE263" s="305"/>
      <c r="ETI263" s="305"/>
      <c r="ETM263" s="305"/>
      <c r="ETQ263" s="305"/>
      <c r="ETU263" s="305"/>
      <c r="ETY263" s="305"/>
      <c r="EUC263" s="305"/>
      <c r="EUG263" s="305"/>
      <c r="EUK263" s="305"/>
      <c r="EUO263" s="305"/>
      <c r="EUS263" s="305"/>
      <c r="EUW263" s="305"/>
      <c r="EVA263" s="305"/>
      <c r="EVE263" s="305"/>
      <c r="EVI263" s="305"/>
      <c r="EVM263" s="305"/>
      <c r="EVQ263" s="305"/>
      <c r="EVU263" s="305"/>
      <c r="EVY263" s="305"/>
      <c r="EWC263" s="305"/>
      <c r="EWG263" s="305"/>
      <c r="EWK263" s="305"/>
      <c r="EWO263" s="305"/>
      <c r="EWS263" s="305"/>
      <c r="EWW263" s="305"/>
      <c r="EXA263" s="305"/>
      <c r="EXE263" s="305"/>
      <c r="EXI263" s="305"/>
      <c r="EXM263" s="305"/>
      <c r="EXQ263" s="305"/>
      <c r="EXU263" s="305"/>
      <c r="EXY263" s="305"/>
      <c r="EYC263" s="305"/>
      <c r="EYG263" s="305"/>
      <c r="EYK263" s="305"/>
      <c r="EYO263" s="305"/>
      <c r="EYS263" s="305"/>
      <c r="EYW263" s="305"/>
      <c r="EZA263" s="305"/>
      <c r="EZE263" s="305"/>
      <c r="EZI263" s="305"/>
      <c r="EZM263" s="305"/>
      <c r="EZQ263" s="305"/>
      <c r="EZU263" s="305"/>
      <c r="EZY263" s="305"/>
      <c r="FAC263" s="305"/>
      <c r="FAG263" s="305"/>
      <c r="FAK263" s="305"/>
      <c r="FAO263" s="305"/>
      <c r="FAS263" s="305"/>
      <c r="FAW263" s="305"/>
      <c r="FBA263" s="305"/>
      <c r="FBE263" s="305"/>
      <c r="FBI263" s="305"/>
      <c r="FBM263" s="305"/>
      <c r="FBQ263" s="305"/>
      <c r="FBU263" s="305"/>
      <c r="FBY263" s="305"/>
      <c r="FCC263" s="305"/>
      <c r="FCG263" s="305"/>
      <c r="FCK263" s="305"/>
      <c r="FCO263" s="305"/>
      <c r="FCS263" s="305"/>
      <c r="FCW263" s="305"/>
      <c r="FDA263" s="305"/>
      <c r="FDE263" s="305"/>
      <c r="FDI263" s="305"/>
      <c r="FDM263" s="305"/>
      <c r="FDQ263" s="305"/>
      <c r="FDU263" s="305"/>
      <c r="FDY263" s="305"/>
      <c r="FEC263" s="305"/>
      <c r="FEG263" s="305"/>
      <c r="FEK263" s="305"/>
      <c r="FEO263" s="305"/>
      <c r="FES263" s="305"/>
      <c r="FEW263" s="305"/>
      <c r="FFA263" s="305"/>
      <c r="FFE263" s="305"/>
      <c r="FFI263" s="305"/>
      <c r="FFM263" s="305"/>
      <c r="FFQ263" s="305"/>
      <c r="FFU263" s="305"/>
      <c r="FFY263" s="305"/>
      <c r="FGC263" s="305"/>
      <c r="FGG263" s="305"/>
      <c r="FGK263" s="305"/>
      <c r="FGO263" s="305"/>
      <c r="FGS263" s="305"/>
      <c r="FGW263" s="305"/>
      <c r="FHA263" s="305"/>
      <c r="FHE263" s="305"/>
      <c r="FHI263" s="305"/>
      <c r="FHM263" s="305"/>
      <c r="FHQ263" s="305"/>
      <c r="FHU263" s="305"/>
      <c r="FHY263" s="305"/>
      <c r="FIC263" s="305"/>
      <c r="FIG263" s="305"/>
      <c r="FIK263" s="305"/>
      <c r="FIO263" s="305"/>
      <c r="FIS263" s="305"/>
      <c r="FIW263" s="305"/>
      <c r="FJA263" s="305"/>
      <c r="FJE263" s="305"/>
      <c r="FJI263" s="305"/>
      <c r="FJM263" s="305"/>
      <c r="FJQ263" s="305"/>
      <c r="FJU263" s="305"/>
      <c r="FJY263" s="305"/>
      <c r="FKC263" s="305"/>
      <c r="FKG263" s="305"/>
      <c r="FKK263" s="305"/>
      <c r="FKO263" s="305"/>
      <c r="FKS263" s="305"/>
      <c r="FKW263" s="305"/>
      <c r="FLA263" s="305"/>
      <c r="FLE263" s="305"/>
      <c r="FLI263" s="305"/>
      <c r="FLM263" s="305"/>
      <c r="FLQ263" s="305"/>
      <c r="FLU263" s="305"/>
      <c r="FLY263" s="305"/>
      <c r="FMC263" s="305"/>
      <c r="FMG263" s="305"/>
      <c r="FMK263" s="305"/>
      <c r="FMO263" s="305"/>
      <c r="FMS263" s="305"/>
      <c r="FMW263" s="305"/>
      <c r="FNA263" s="305"/>
      <c r="FNE263" s="305"/>
      <c r="FNI263" s="305"/>
      <c r="FNM263" s="305"/>
      <c r="FNQ263" s="305"/>
      <c r="FNU263" s="305"/>
      <c r="FNY263" s="305"/>
      <c r="FOC263" s="305"/>
      <c r="FOG263" s="305"/>
      <c r="FOK263" s="305"/>
      <c r="FOO263" s="305"/>
      <c r="FOS263" s="305"/>
      <c r="FOW263" s="305"/>
      <c r="FPA263" s="305"/>
      <c r="FPE263" s="305"/>
      <c r="FPI263" s="305"/>
      <c r="FPM263" s="305"/>
      <c r="FPQ263" s="305"/>
      <c r="FPU263" s="305"/>
      <c r="FPY263" s="305"/>
      <c r="FQC263" s="305"/>
      <c r="FQG263" s="305"/>
      <c r="FQK263" s="305"/>
      <c r="FQO263" s="305"/>
      <c r="FQS263" s="305"/>
      <c r="FQW263" s="305"/>
      <c r="FRA263" s="305"/>
      <c r="FRE263" s="305"/>
      <c r="FRI263" s="305"/>
      <c r="FRM263" s="305"/>
      <c r="FRQ263" s="305"/>
      <c r="FRU263" s="305"/>
      <c r="FRY263" s="305"/>
      <c r="FSC263" s="305"/>
      <c r="FSG263" s="305"/>
      <c r="FSK263" s="305"/>
      <c r="FSO263" s="305"/>
      <c r="FSS263" s="305"/>
      <c r="FSW263" s="305"/>
      <c r="FTA263" s="305"/>
      <c r="FTE263" s="305"/>
      <c r="FTI263" s="305"/>
      <c r="FTM263" s="305"/>
      <c r="FTQ263" s="305"/>
      <c r="FTU263" s="305"/>
      <c r="FTY263" s="305"/>
      <c r="FUC263" s="305"/>
      <c r="FUG263" s="305"/>
      <c r="FUK263" s="305"/>
      <c r="FUO263" s="305"/>
      <c r="FUS263" s="305"/>
      <c r="FUW263" s="305"/>
      <c r="FVA263" s="305"/>
      <c r="FVE263" s="305"/>
      <c r="FVI263" s="305"/>
      <c r="FVM263" s="305"/>
      <c r="FVQ263" s="305"/>
      <c r="FVU263" s="305"/>
      <c r="FVY263" s="305"/>
      <c r="FWC263" s="305"/>
      <c r="FWG263" s="305"/>
      <c r="FWK263" s="305"/>
      <c r="FWO263" s="305"/>
      <c r="FWS263" s="305"/>
      <c r="FWW263" s="305"/>
      <c r="FXA263" s="305"/>
      <c r="FXE263" s="305"/>
      <c r="FXI263" s="305"/>
      <c r="FXM263" s="305"/>
      <c r="FXQ263" s="305"/>
      <c r="FXU263" s="305"/>
      <c r="FXY263" s="305"/>
      <c r="FYC263" s="305"/>
      <c r="FYG263" s="305"/>
      <c r="FYK263" s="305"/>
      <c r="FYO263" s="305"/>
      <c r="FYS263" s="305"/>
      <c r="FYW263" s="305"/>
      <c r="FZA263" s="305"/>
      <c r="FZE263" s="305"/>
      <c r="FZI263" s="305"/>
      <c r="FZM263" s="305"/>
      <c r="FZQ263" s="305"/>
      <c r="FZU263" s="305"/>
      <c r="FZY263" s="305"/>
      <c r="GAC263" s="305"/>
      <c r="GAG263" s="305"/>
      <c r="GAK263" s="305"/>
      <c r="GAO263" s="305"/>
      <c r="GAS263" s="305"/>
      <c r="GAW263" s="305"/>
      <c r="GBA263" s="305"/>
      <c r="GBE263" s="305"/>
      <c r="GBI263" s="305"/>
      <c r="GBM263" s="305"/>
      <c r="GBQ263" s="305"/>
      <c r="GBU263" s="305"/>
      <c r="GBY263" s="305"/>
      <c r="GCC263" s="305"/>
      <c r="GCG263" s="305"/>
      <c r="GCK263" s="305"/>
      <c r="GCO263" s="305"/>
      <c r="GCS263" s="305"/>
      <c r="GCW263" s="305"/>
      <c r="GDA263" s="305"/>
      <c r="GDE263" s="305"/>
      <c r="GDI263" s="305"/>
      <c r="GDM263" s="305"/>
      <c r="GDQ263" s="305"/>
      <c r="GDU263" s="305"/>
      <c r="GDY263" s="305"/>
      <c r="GEC263" s="305"/>
      <c r="GEG263" s="305"/>
      <c r="GEK263" s="305"/>
      <c r="GEO263" s="305"/>
      <c r="GES263" s="305"/>
      <c r="GEW263" s="305"/>
      <c r="GFA263" s="305"/>
      <c r="GFE263" s="305"/>
      <c r="GFI263" s="305"/>
      <c r="GFM263" s="305"/>
      <c r="GFQ263" s="305"/>
      <c r="GFU263" s="305"/>
      <c r="GFY263" s="305"/>
      <c r="GGC263" s="305"/>
      <c r="GGG263" s="305"/>
      <c r="GGK263" s="305"/>
      <c r="GGO263" s="305"/>
      <c r="GGS263" s="305"/>
      <c r="GGW263" s="305"/>
      <c r="GHA263" s="305"/>
      <c r="GHE263" s="305"/>
      <c r="GHI263" s="305"/>
      <c r="GHM263" s="305"/>
      <c r="GHQ263" s="305"/>
      <c r="GHU263" s="305"/>
      <c r="GHY263" s="305"/>
      <c r="GIC263" s="305"/>
      <c r="GIG263" s="305"/>
      <c r="GIK263" s="305"/>
      <c r="GIO263" s="305"/>
      <c r="GIS263" s="305"/>
      <c r="GIW263" s="305"/>
      <c r="GJA263" s="305"/>
      <c r="GJE263" s="305"/>
      <c r="GJI263" s="305"/>
      <c r="GJM263" s="305"/>
      <c r="GJQ263" s="305"/>
      <c r="GJU263" s="305"/>
      <c r="GJY263" s="305"/>
      <c r="GKC263" s="305"/>
      <c r="GKG263" s="305"/>
      <c r="GKK263" s="305"/>
      <c r="GKO263" s="305"/>
      <c r="GKS263" s="305"/>
      <c r="GKW263" s="305"/>
      <c r="GLA263" s="305"/>
      <c r="GLE263" s="305"/>
      <c r="GLI263" s="305"/>
      <c r="GLM263" s="305"/>
      <c r="GLQ263" s="305"/>
      <c r="GLU263" s="305"/>
      <c r="GLY263" s="305"/>
      <c r="GMC263" s="305"/>
      <c r="GMG263" s="305"/>
      <c r="GMK263" s="305"/>
      <c r="GMO263" s="305"/>
      <c r="GMS263" s="305"/>
      <c r="GMW263" s="305"/>
      <c r="GNA263" s="305"/>
      <c r="GNE263" s="305"/>
      <c r="GNI263" s="305"/>
      <c r="GNM263" s="305"/>
      <c r="GNQ263" s="305"/>
      <c r="GNU263" s="305"/>
      <c r="GNY263" s="305"/>
      <c r="GOC263" s="305"/>
      <c r="GOG263" s="305"/>
      <c r="GOK263" s="305"/>
      <c r="GOO263" s="305"/>
      <c r="GOS263" s="305"/>
      <c r="GOW263" s="305"/>
      <c r="GPA263" s="305"/>
      <c r="GPE263" s="305"/>
      <c r="GPI263" s="305"/>
      <c r="GPM263" s="305"/>
      <c r="GPQ263" s="305"/>
      <c r="GPU263" s="305"/>
      <c r="GPY263" s="305"/>
      <c r="GQC263" s="305"/>
      <c r="GQG263" s="305"/>
      <c r="GQK263" s="305"/>
      <c r="GQO263" s="305"/>
      <c r="GQS263" s="305"/>
      <c r="GQW263" s="305"/>
      <c r="GRA263" s="305"/>
      <c r="GRE263" s="305"/>
      <c r="GRI263" s="305"/>
      <c r="GRM263" s="305"/>
      <c r="GRQ263" s="305"/>
      <c r="GRU263" s="305"/>
      <c r="GRY263" s="305"/>
      <c r="GSC263" s="305"/>
      <c r="GSG263" s="305"/>
      <c r="GSK263" s="305"/>
      <c r="GSO263" s="305"/>
      <c r="GSS263" s="305"/>
      <c r="GSW263" s="305"/>
      <c r="GTA263" s="305"/>
      <c r="GTE263" s="305"/>
      <c r="GTI263" s="305"/>
      <c r="GTM263" s="305"/>
      <c r="GTQ263" s="305"/>
      <c r="GTU263" s="305"/>
      <c r="GTY263" s="305"/>
      <c r="GUC263" s="305"/>
      <c r="GUG263" s="305"/>
      <c r="GUK263" s="305"/>
      <c r="GUO263" s="305"/>
      <c r="GUS263" s="305"/>
      <c r="GUW263" s="305"/>
      <c r="GVA263" s="305"/>
      <c r="GVE263" s="305"/>
      <c r="GVI263" s="305"/>
      <c r="GVM263" s="305"/>
      <c r="GVQ263" s="305"/>
      <c r="GVU263" s="305"/>
      <c r="GVY263" s="305"/>
      <c r="GWC263" s="305"/>
      <c r="GWG263" s="305"/>
      <c r="GWK263" s="305"/>
      <c r="GWO263" s="305"/>
      <c r="GWS263" s="305"/>
      <c r="GWW263" s="305"/>
      <c r="GXA263" s="305"/>
      <c r="GXE263" s="305"/>
      <c r="GXI263" s="305"/>
      <c r="GXM263" s="305"/>
      <c r="GXQ263" s="305"/>
      <c r="GXU263" s="305"/>
      <c r="GXY263" s="305"/>
      <c r="GYC263" s="305"/>
      <c r="GYG263" s="305"/>
      <c r="GYK263" s="305"/>
      <c r="GYO263" s="305"/>
      <c r="GYS263" s="305"/>
      <c r="GYW263" s="305"/>
      <c r="GZA263" s="305"/>
      <c r="GZE263" s="305"/>
      <c r="GZI263" s="305"/>
      <c r="GZM263" s="305"/>
      <c r="GZQ263" s="305"/>
      <c r="GZU263" s="305"/>
      <c r="GZY263" s="305"/>
      <c r="HAC263" s="305"/>
      <c r="HAG263" s="305"/>
      <c r="HAK263" s="305"/>
      <c r="HAO263" s="305"/>
      <c r="HAS263" s="305"/>
      <c r="HAW263" s="305"/>
      <c r="HBA263" s="305"/>
      <c r="HBE263" s="305"/>
      <c r="HBI263" s="305"/>
      <c r="HBM263" s="305"/>
      <c r="HBQ263" s="305"/>
      <c r="HBU263" s="305"/>
      <c r="HBY263" s="305"/>
      <c r="HCC263" s="305"/>
      <c r="HCG263" s="305"/>
      <c r="HCK263" s="305"/>
      <c r="HCO263" s="305"/>
      <c r="HCS263" s="305"/>
      <c r="HCW263" s="305"/>
      <c r="HDA263" s="305"/>
      <c r="HDE263" s="305"/>
      <c r="HDI263" s="305"/>
      <c r="HDM263" s="305"/>
      <c r="HDQ263" s="305"/>
      <c r="HDU263" s="305"/>
      <c r="HDY263" s="305"/>
      <c r="HEC263" s="305"/>
      <c r="HEG263" s="305"/>
      <c r="HEK263" s="305"/>
      <c r="HEO263" s="305"/>
      <c r="HES263" s="305"/>
      <c r="HEW263" s="305"/>
      <c r="HFA263" s="305"/>
      <c r="HFE263" s="305"/>
      <c r="HFI263" s="305"/>
      <c r="HFM263" s="305"/>
      <c r="HFQ263" s="305"/>
      <c r="HFU263" s="305"/>
      <c r="HFY263" s="305"/>
      <c r="HGC263" s="305"/>
      <c r="HGG263" s="305"/>
      <c r="HGK263" s="305"/>
      <c r="HGO263" s="305"/>
      <c r="HGS263" s="305"/>
      <c r="HGW263" s="305"/>
      <c r="HHA263" s="305"/>
      <c r="HHE263" s="305"/>
      <c r="HHI263" s="305"/>
      <c r="HHM263" s="305"/>
      <c r="HHQ263" s="305"/>
      <c r="HHU263" s="305"/>
      <c r="HHY263" s="305"/>
      <c r="HIC263" s="305"/>
      <c r="HIG263" s="305"/>
      <c r="HIK263" s="305"/>
      <c r="HIO263" s="305"/>
      <c r="HIS263" s="305"/>
      <c r="HIW263" s="305"/>
      <c r="HJA263" s="305"/>
      <c r="HJE263" s="305"/>
      <c r="HJI263" s="305"/>
      <c r="HJM263" s="305"/>
      <c r="HJQ263" s="305"/>
      <c r="HJU263" s="305"/>
      <c r="HJY263" s="305"/>
      <c r="HKC263" s="305"/>
      <c r="HKG263" s="305"/>
      <c r="HKK263" s="305"/>
      <c r="HKO263" s="305"/>
      <c r="HKS263" s="305"/>
      <c r="HKW263" s="305"/>
      <c r="HLA263" s="305"/>
      <c r="HLE263" s="305"/>
      <c r="HLI263" s="305"/>
      <c r="HLM263" s="305"/>
      <c r="HLQ263" s="305"/>
      <c r="HLU263" s="305"/>
      <c r="HLY263" s="305"/>
      <c r="HMC263" s="305"/>
      <c r="HMG263" s="305"/>
      <c r="HMK263" s="305"/>
      <c r="HMO263" s="305"/>
      <c r="HMS263" s="305"/>
      <c r="HMW263" s="305"/>
      <c r="HNA263" s="305"/>
      <c r="HNE263" s="305"/>
      <c r="HNI263" s="305"/>
      <c r="HNM263" s="305"/>
      <c r="HNQ263" s="305"/>
      <c r="HNU263" s="305"/>
      <c r="HNY263" s="305"/>
      <c r="HOC263" s="305"/>
      <c r="HOG263" s="305"/>
      <c r="HOK263" s="305"/>
      <c r="HOO263" s="305"/>
      <c r="HOS263" s="305"/>
      <c r="HOW263" s="305"/>
      <c r="HPA263" s="305"/>
      <c r="HPE263" s="305"/>
      <c r="HPI263" s="305"/>
      <c r="HPM263" s="305"/>
      <c r="HPQ263" s="305"/>
      <c r="HPU263" s="305"/>
      <c r="HPY263" s="305"/>
      <c r="HQC263" s="305"/>
      <c r="HQG263" s="305"/>
      <c r="HQK263" s="305"/>
      <c r="HQO263" s="305"/>
      <c r="HQS263" s="305"/>
      <c r="HQW263" s="305"/>
      <c r="HRA263" s="305"/>
      <c r="HRE263" s="305"/>
      <c r="HRI263" s="305"/>
      <c r="HRM263" s="305"/>
      <c r="HRQ263" s="305"/>
      <c r="HRU263" s="305"/>
      <c r="HRY263" s="305"/>
      <c r="HSC263" s="305"/>
      <c r="HSG263" s="305"/>
      <c r="HSK263" s="305"/>
      <c r="HSO263" s="305"/>
      <c r="HSS263" s="305"/>
      <c r="HSW263" s="305"/>
      <c r="HTA263" s="305"/>
      <c r="HTE263" s="305"/>
      <c r="HTI263" s="305"/>
      <c r="HTM263" s="305"/>
      <c r="HTQ263" s="305"/>
      <c r="HTU263" s="305"/>
      <c r="HTY263" s="305"/>
      <c r="HUC263" s="305"/>
      <c r="HUG263" s="305"/>
      <c r="HUK263" s="305"/>
      <c r="HUO263" s="305"/>
      <c r="HUS263" s="305"/>
      <c r="HUW263" s="305"/>
      <c r="HVA263" s="305"/>
      <c r="HVE263" s="305"/>
      <c r="HVI263" s="305"/>
      <c r="HVM263" s="305"/>
      <c r="HVQ263" s="305"/>
      <c r="HVU263" s="305"/>
      <c r="HVY263" s="305"/>
      <c r="HWC263" s="305"/>
      <c r="HWG263" s="305"/>
      <c r="HWK263" s="305"/>
      <c r="HWO263" s="305"/>
      <c r="HWS263" s="305"/>
      <c r="HWW263" s="305"/>
      <c r="HXA263" s="305"/>
      <c r="HXE263" s="305"/>
      <c r="HXI263" s="305"/>
      <c r="HXM263" s="305"/>
      <c r="HXQ263" s="305"/>
      <c r="HXU263" s="305"/>
      <c r="HXY263" s="305"/>
      <c r="HYC263" s="305"/>
      <c r="HYG263" s="305"/>
      <c r="HYK263" s="305"/>
      <c r="HYO263" s="305"/>
      <c r="HYS263" s="305"/>
      <c r="HYW263" s="305"/>
      <c r="HZA263" s="305"/>
      <c r="HZE263" s="305"/>
      <c r="HZI263" s="305"/>
      <c r="HZM263" s="305"/>
      <c r="HZQ263" s="305"/>
      <c r="HZU263" s="305"/>
      <c r="HZY263" s="305"/>
      <c r="IAC263" s="305"/>
      <c r="IAG263" s="305"/>
      <c r="IAK263" s="305"/>
      <c r="IAO263" s="305"/>
      <c r="IAS263" s="305"/>
      <c r="IAW263" s="305"/>
      <c r="IBA263" s="305"/>
      <c r="IBE263" s="305"/>
      <c r="IBI263" s="305"/>
      <c r="IBM263" s="305"/>
      <c r="IBQ263" s="305"/>
      <c r="IBU263" s="305"/>
      <c r="IBY263" s="305"/>
      <c r="ICC263" s="305"/>
      <c r="ICG263" s="305"/>
      <c r="ICK263" s="305"/>
      <c r="ICO263" s="305"/>
      <c r="ICS263" s="305"/>
      <c r="ICW263" s="305"/>
      <c r="IDA263" s="305"/>
      <c r="IDE263" s="305"/>
      <c r="IDI263" s="305"/>
      <c r="IDM263" s="305"/>
      <c r="IDQ263" s="305"/>
      <c r="IDU263" s="305"/>
      <c r="IDY263" s="305"/>
      <c r="IEC263" s="305"/>
      <c r="IEG263" s="305"/>
      <c r="IEK263" s="305"/>
      <c r="IEO263" s="305"/>
      <c r="IES263" s="305"/>
      <c r="IEW263" s="305"/>
      <c r="IFA263" s="305"/>
      <c r="IFE263" s="305"/>
      <c r="IFI263" s="305"/>
      <c r="IFM263" s="305"/>
      <c r="IFQ263" s="305"/>
      <c r="IFU263" s="305"/>
      <c r="IFY263" s="305"/>
      <c r="IGC263" s="305"/>
      <c r="IGG263" s="305"/>
      <c r="IGK263" s="305"/>
      <c r="IGO263" s="305"/>
      <c r="IGS263" s="305"/>
      <c r="IGW263" s="305"/>
      <c r="IHA263" s="305"/>
      <c r="IHE263" s="305"/>
      <c r="IHI263" s="305"/>
      <c r="IHM263" s="305"/>
      <c r="IHQ263" s="305"/>
      <c r="IHU263" s="305"/>
      <c r="IHY263" s="305"/>
      <c r="IIC263" s="305"/>
      <c r="IIG263" s="305"/>
      <c r="IIK263" s="305"/>
      <c r="IIO263" s="305"/>
      <c r="IIS263" s="305"/>
      <c r="IIW263" s="305"/>
      <c r="IJA263" s="305"/>
      <c r="IJE263" s="305"/>
      <c r="IJI263" s="305"/>
      <c r="IJM263" s="305"/>
      <c r="IJQ263" s="305"/>
      <c r="IJU263" s="305"/>
      <c r="IJY263" s="305"/>
      <c r="IKC263" s="305"/>
      <c r="IKG263" s="305"/>
      <c r="IKK263" s="305"/>
      <c r="IKO263" s="305"/>
      <c r="IKS263" s="305"/>
      <c r="IKW263" s="305"/>
      <c r="ILA263" s="305"/>
      <c r="ILE263" s="305"/>
      <c r="ILI263" s="305"/>
      <c r="ILM263" s="305"/>
      <c r="ILQ263" s="305"/>
      <c r="ILU263" s="305"/>
      <c r="ILY263" s="305"/>
      <c r="IMC263" s="305"/>
      <c r="IMG263" s="305"/>
      <c r="IMK263" s="305"/>
      <c r="IMO263" s="305"/>
      <c r="IMS263" s="305"/>
      <c r="IMW263" s="305"/>
      <c r="INA263" s="305"/>
      <c r="INE263" s="305"/>
      <c r="INI263" s="305"/>
      <c r="INM263" s="305"/>
      <c r="INQ263" s="305"/>
      <c r="INU263" s="305"/>
      <c r="INY263" s="305"/>
      <c r="IOC263" s="305"/>
      <c r="IOG263" s="305"/>
      <c r="IOK263" s="305"/>
      <c r="IOO263" s="305"/>
      <c r="IOS263" s="305"/>
      <c r="IOW263" s="305"/>
      <c r="IPA263" s="305"/>
      <c r="IPE263" s="305"/>
      <c r="IPI263" s="305"/>
      <c r="IPM263" s="305"/>
      <c r="IPQ263" s="305"/>
      <c r="IPU263" s="305"/>
      <c r="IPY263" s="305"/>
      <c r="IQC263" s="305"/>
      <c r="IQG263" s="305"/>
      <c r="IQK263" s="305"/>
      <c r="IQO263" s="305"/>
      <c r="IQS263" s="305"/>
      <c r="IQW263" s="305"/>
      <c r="IRA263" s="305"/>
      <c r="IRE263" s="305"/>
      <c r="IRI263" s="305"/>
      <c r="IRM263" s="305"/>
      <c r="IRQ263" s="305"/>
      <c r="IRU263" s="305"/>
      <c r="IRY263" s="305"/>
      <c r="ISC263" s="305"/>
      <c r="ISG263" s="305"/>
      <c r="ISK263" s="305"/>
      <c r="ISO263" s="305"/>
      <c r="ISS263" s="305"/>
      <c r="ISW263" s="305"/>
      <c r="ITA263" s="305"/>
      <c r="ITE263" s="305"/>
      <c r="ITI263" s="305"/>
      <c r="ITM263" s="305"/>
      <c r="ITQ263" s="305"/>
      <c r="ITU263" s="305"/>
      <c r="ITY263" s="305"/>
      <c r="IUC263" s="305"/>
      <c r="IUG263" s="305"/>
      <c r="IUK263" s="305"/>
      <c r="IUO263" s="305"/>
      <c r="IUS263" s="305"/>
      <c r="IUW263" s="305"/>
      <c r="IVA263" s="305"/>
      <c r="IVE263" s="305"/>
      <c r="IVI263" s="305"/>
      <c r="IVM263" s="305"/>
      <c r="IVQ263" s="305"/>
      <c r="IVU263" s="305"/>
      <c r="IVY263" s="305"/>
      <c r="IWC263" s="305"/>
      <c r="IWG263" s="305"/>
      <c r="IWK263" s="305"/>
      <c r="IWO263" s="305"/>
      <c r="IWS263" s="305"/>
      <c r="IWW263" s="305"/>
      <c r="IXA263" s="305"/>
      <c r="IXE263" s="305"/>
      <c r="IXI263" s="305"/>
      <c r="IXM263" s="305"/>
      <c r="IXQ263" s="305"/>
      <c r="IXU263" s="305"/>
      <c r="IXY263" s="305"/>
      <c r="IYC263" s="305"/>
      <c r="IYG263" s="305"/>
      <c r="IYK263" s="305"/>
      <c r="IYO263" s="305"/>
      <c r="IYS263" s="305"/>
      <c r="IYW263" s="305"/>
      <c r="IZA263" s="305"/>
      <c r="IZE263" s="305"/>
      <c r="IZI263" s="305"/>
      <c r="IZM263" s="305"/>
      <c r="IZQ263" s="305"/>
      <c r="IZU263" s="305"/>
      <c r="IZY263" s="305"/>
      <c r="JAC263" s="305"/>
      <c r="JAG263" s="305"/>
      <c r="JAK263" s="305"/>
      <c r="JAO263" s="305"/>
      <c r="JAS263" s="305"/>
      <c r="JAW263" s="305"/>
      <c r="JBA263" s="305"/>
      <c r="JBE263" s="305"/>
      <c r="JBI263" s="305"/>
      <c r="JBM263" s="305"/>
      <c r="JBQ263" s="305"/>
      <c r="JBU263" s="305"/>
      <c r="JBY263" s="305"/>
      <c r="JCC263" s="305"/>
      <c r="JCG263" s="305"/>
      <c r="JCK263" s="305"/>
      <c r="JCO263" s="305"/>
      <c r="JCS263" s="305"/>
      <c r="JCW263" s="305"/>
      <c r="JDA263" s="305"/>
      <c r="JDE263" s="305"/>
      <c r="JDI263" s="305"/>
      <c r="JDM263" s="305"/>
      <c r="JDQ263" s="305"/>
      <c r="JDU263" s="305"/>
      <c r="JDY263" s="305"/>
      <c r="JEC263" s="305"/>
      <c r="JEG263" s="305"/>
      <c r="JEK263" s="305"/>
      <c r="JEO263" s="305"/>
      <c r="JES263" s="305"/>
      <c r="JEW263" s="305"/>
      <c r="JFA263" s="305"/>
      <c r="JFE263" s="305"/>
      <c r="JFI263" s="305"/>
      <c r="JFM263" s="305"/>
      <c r="JFQ263" s="305"/>
      <c r="JFU263" s="305"/>
      <c r="JFY263" s="305"/>
      <c r="JGC263" s="305"/>
      <c r="JGG263" s="305"/>
      <c r="JGK263" s="305"/>
      <c r="JGO263" s="305"/>
      <c r="JGS263" s="305"/>
      <c r="JGW263" s="305"/>
      <c r="JHA263" s="305"/>
      <c r="JHE263" s="305"/>
      <c r="JHI263" s="305"/>
      <c r="JHM263" s="305"/>
      <c r="JHQ263" s="305"/>
      <c r="JHU263" s="305"/>
      <c r="JHY263" s="305"/>
      <c r="JIC263" s="305"/>
      <c r="JIG263" s="305"/>
      <c r="JIK263" s="305"/>
      <c r="JIO263" s="305"/>
      <c r="JIS263" s="305"/>
      <c r="JIW263" s="305"/>
      <c r="JJA263" s="305"/>
      <c r="JJE263" s="305"/>
      <c r="JJI263" s="305"/>
      <c r="JJM263" s="305"/>
      <c r="JJQ263" s="305"/>
      <c r="JJU263" s="305"/>
      <c r="JJY263" s="305"/>
      <c r="JKC263" s="305"/>
      <c r="JKG263" s="305"/>
      <c r="JKK263" s="305"/>
      <c r="JKO263" s="305"/>
      <c r="JKS263" s="305"/>
      <c r="JKW263" s="305"/>
      <c r="JLA263" s="305"/>
      <c r="JLE263" s="305"/>
      <c r="JLI263" s="305"/>
      <c r="JLM263" s="305"/>
      <c r="JLQ263" s="305"/>
      <c r="JLU263" s="305"/>
      <c r="JLY263" s="305"/>
      <c r="JMC263" s="305"/>
      <c r="JMG263" s="305"/>
      <c r="JMK263" s="305"/>
      <c r="JMO263" s="305"/>
      <c r="JMS263" s="305"/>
      <c r="JMW263" s="305"/>
      <c r="JNA263" s="305"/>
      <c r="JNE263" s="305"/>
      <c r="JNI263" s="305"/>
      <c r="JNM263" s="305"/>
      <c r="JNQ263" s="305"/>
      <c r="JNU263" s="305"/>
      <c r="JNY263" s="305"/>
      <c r="JOC263" s="305"/>
      <c r="JOG263" s="305"/>
      <c r="JOK263" s="305"/>
      <c r="JOO263" s="305"/>
      <c r="JOS263" s="305"/>
      <c r="JOW263" s="305"/>
      <c r="JPA263" s="305"/>
      <c r="JPE263" s="305"/>
      <c r="JPI263" s="305"/>
      <c r="JPM263" s="305"/>
      <c r="JPQ263" s="305"/>
      <c r="JPU263" s="305"/>
      <c r="JPY263" s="305"/>
      <c r="JQC263" s="305"/>
      <c r="JQG263" s="305"/>
      <c r="JQK263" s="305"/>
      <c r="JQO263" s="305"/>
      <c r="JQS263" s="305"/>
      <c r="JQW263" s="305"/>
      <c r="JRA263" s="305"/>
      <c r="JRE263" s="305"/>
      <c r="JRI263" s="305"/>
      <c r="JRM263" s="305"/>
      <c r="JRQ263" s="305"/>
      <c r="JRU263" s="305"/>
      <c r="JRY263" s="305"/>
      <c r="JSC263" s="305"/>
      <c r="JSG263" s="305"/>
      <c r="JSK263" s="305"/>
      <c r="JSO263" s="305"/>
      <c r="JSS263" s="305"/>
      <c r="JSW263" s="305"/>
      <c r="JTA263" s="305"/>
      <c r="JTE263" s="305"/>
      <c r="JTI263" s="305"/>
      <c r="JTM263" s="305"/>
      <c r="JTQ263" s="305"/>
      <c r="JTU263" s="305"/>
      <c r="JTY263" s="305"/>
      <c r="JUC263" s="305"/>
      <c r="JUG263" s="305"/>
      <c r="JUK263" s="305"/>
      <c r="JUO263" s="305"/>
      <c r="JUS263" s="305"/>
      <c r="JUW263" s="305"/>
      <c r="JVA263" s="305"/>
      <c r="JVE263" s="305"/>
      <c r="JVI263" s="305"/>
      <c r="JVM263" s="305"/>
      <c r="JVQ263" s="305"/>
      <c r="JVU263" s="305"/>
      <c r="JVY263" s="305"/>
      <c r="JWC263" s="305"/>
      <c r="JWG263" s="305"/>
      <c r="JWK263" s="305"/>
      <c r="JWO263" s="305"/>
      <c r="JWS263" s="305"/>
      <c r="JWW263" s="305"/>
      <c r="JXA263" s="305"/>
      <c r="JXE263" s="305"/>
      <c r="JXI263" s="305"/>
      <c r="JXM263" s="305"/>
      <c r="JXQ263" s="305"/>
      <c r="JXU263" s="305"/>
      <c r="JXY263" s="305"/>
      <c r="JYC263" s="305"/>
      <c r="JYG263" s="305"/>
      <c r="JYK263" s="305"/>
      <c r="JYO263" s="305"/>
      <c r="JYS263" s="305"/>
      <c r="JYW263" s="305"/>
      <c r="JZA263" s="305"/>
      <c r="JZE263" s="305"/>
      <c r="JZI263" s="305"/>
      <c r="JZM263" s="305"/>
      <c r="JZQ263" s="305"/>
      <c r="JZU263" s="305"/>
      <c r="JZY263" s="305"/>
      <c r="KAC263" s="305"/>
      <c r="KAG263" s="305"/>
      <c r="KAK263" s="305"/>
      <c r="KAO263" s="305"/>
      <c r="KAS263" s="305"/>
      <c r="KAW263" s="305"/>
      <c r="KBA263" s="305"/>
      <c r="KBE263" s="305"/>
      <c r="KBI263" s="305"/>
      <c r="KBM263" s="305"/>
      <c r="KBQ263" s="305"/>
      <c r="KBU263" s="305"/>
      <c r="KBY263" s="305"/>
      <c r="KCC263" s="305"/>
      <c r="KCG263" s="305"/>
      <c r="KCK263" s="305"/>
      <c r="KCO263" s="305"/>
      <c r="KCS263" s="305"/>
      <c r="KCW263" s="305"/>
      <c r="KDA263" s="305"/>
      <c r="KDE263" s="305"/>
      <c r="KDI263" s="305"/>
      <c r="KDM263" s="305"/>
      <c r="KDQ263" s="305"/>
      <c r="KDU263" s="305"/>
      <c r="KDY263" s="305"/>
      <c r="KEC263" s="305"/>
      <c r="KEG263" s="305"/>
      <c r="KEK263" s="305"/>
      <c r="KEO263" s="305"/>
      <c r="KES263" s="305"/>
      <c r="KEW263" s="305"/>
      <c r="KFA263" s="305"/>
      <c r="KFE263" s="305"/>
      <c r="KFI263" s="305"/>
      <c r="KFM263" s="305"/>
      <c r="KFQ263" s="305"/>
      <c r="KFU263" s="305"/>
      <c r="KFY263" s="305"/>
      <c r="KGC263" s="305"/>
      <c r="KGG263" s="305"/>
      <c r="KGK263" s="305"/>
      <c r="KGO263" s="305"/>
      <c r="KGS263" s="305"/>
      <c r="KGW263" s="305"/>
      <c r="KHA263" s="305"/>
      <c r="KHE263" s="305"/>
      <c r="KHI263" s="305"/>
      <c r="KHM263" s="305"/>
      <c r="KHQ263" s="305"/>
      <c r="KHU263" s="305"/>
      <c r="KHY263" s="305"/>
      <c r="KIC263" s="305"/>
      <c r="KIG263" s="305"/>
      <c r="KIK263" s="305"/>
      <c r="KIO263" s="305"/>
      <c r="KIS263" s="305"/>
      <c r="KIW263" s="305"/>
      <c r="KJA263" s="305"/>
      <c r="KJE263" s="305"/>
      <c r="KJI263" s="305"/>
      <c r="KJM263" s="305"/>
      <c r="KJQ263" s="305"/>
      <c r="KJU263" s="305"/>
      <c r="KJY263" s="305"/>
      <c r="KKC263" s="305"/>
      <c r="KKG263" s="305"/>
      <c r="KKK263" s="305"/>
      <c r="KKO263" s="305"/>
      <c r="KKS263" s="305"/>
      <c r="KKW263" s="305"/>
      <c r="KLA263" s="305"/>
      <c r="KLE263" s="305"/>
      <c r="KLI263" s="305"/>
      <c r="KLM263" s="305"/>
      <c r="KLQ263" s="305"/>
      <c r="KLU263" s="305"/>
      <c r="KLY263" s="305"/>
      <c r="KMC263" s="305"/>
      <c r="KMG263" s="305"/>
      <c r="KMK263" s="305"/>
      <c r="KMO263" s="305"/>
      <c r="KMS263" s="305"/>
      <c r="KMW263" s="305"/>
      <c r="KNA263" s="305"/>
      <c r="KNE263" s="305"/>
      <c r="KNI263" s="305"/>
      <c r="KNM263" s="305"/>
      <c r="KNQ263" s="305"/>
      <c r="KNU263" s="305"/>
      <c r="KNY263" s="305"/>
      <c r="KOC263" s="305"/>
      <c r="KOG263" s="305"/>
      <c r="KOK263" s="305"/>
      <c r="KOO263" s="305"/>
      <c r="KOS263" s="305"/>
      <c r="KOW263" s="305"/>
      <c r="KPA263" s="305"/>
      <c r="KPE263" s="305"/>
      <c r="KPI263" s="305"/>
      <c r="KPM263" s="305"/>
      <c r="KPQ263" s="305"/>
      <c r="KPU263" s="305"/>
      <c r="KPY263" s="305"/>
      <c r="KQC263" s="305"/>
      <c r="KQG263" s="305"/>
      <c r="KQK263" s="305"/>
      <c r="KQO263" s="305"/>
      <c r="KQS263" s="305"/>
      <c r="KQW263" s="305"/>
      <c r="KRA263" s="305"/>
      <c r="KRE263" s="305"/>
      <c r="KRI263" s="305"/>
      <c r="KRM263" s="305"/>
      <c r="KRQ263" s="305"/>
      <c r="KRU263" s="305"/>
      <c r="KRY263" s="305"/>
      <c r="KSC263" s="305"/>
      <c r="KSG263" s="305"/>
      <c r="KSK263" s="305"/>
      <c r="KSO263" s="305"/>
      <c r="KSS263" s="305"/>
      <c r="KSW263" s="305"/>
      <c r="KTA263" s="305"/>
      <c r="KTE263" s="305"/>
      <c r="KTI263" s="305"/>
      <c r="KTM263" s="305"/>
      <c r="KTQ263" s="305"/>
      <c r="KTU263" s="305"/>
      <c r="KTY263" s="305"/>
      <c r="KUC263" s="305"/>
      <c r="KUG263" s="305"/>
      <c r="KUK263" s="305"/>
      <c r="KUO263" s="305"/>
      <c r="KUS263" s="305"/>
      <c r="KUW263" s="305"/>
      <c r="KVA263" s="305"/>
      <c r="KVE263" s="305"/>
      <c r="KVI263" s="305"/>
      <c r="KVM263" s="305"/>
      <c r="KVQ263" s="305"/>
      <c r="KVU263" s="305"/>
      <c r="KVY263" s="305"/>
      <c r="KWC263" s="305"/>
      <c r="KWG263" s="305"/>
      <c r="KWK263" s="305"/>
      <c r="KWO263" s="305"/>
      <c r="KWS263" s="305"/>
      <c r="KWW263" s="305"/>
      <c r="KXA263" s="305"/>
      <c r="KXE263" s="305"/>
      <c r="KXI263" s="305"/>
      <c r="KXM263" s="305"/>
      <c r="KXQ263" s="305"/>
      <c r="KXU263" s="305"/>
      <c r="KXY263" s="305"/>
      <c r="KYC263" s="305"/>
      <c r="KYG263" s="305"/>
      <c r="KYK263" s="305"/>
      <c r="KYO263" s="305"/>
      <c r="KYS263" s="305"/>
      <c r="KYW263" s="305"/>
      <c r="KZA263" s="305"/>
      <c r="KZE263" s="305"/>
      <c r="KZI263" s="305"/>
      <c r="KZM263" s="305"/>
      <c r="KZQ263" s="305"/>
      <c r="KZU263" s="305"/>
      <c r="KZY263" s="305"/>
      <c r="LAC263" s="305"/>
      <c r="LAG263" s="305"/>
      <c r="LAK263" s="305"/>
      <c r="LAO263" s="305"/>
      <c r="LAS263" s="305"/>
      <c r="LAW263" s="305"/>
      <c r="LBA263" s="305"/>
      <c r="LBE263" s="305"/>
      <c r="LBI263" s="305"/>
      <c r="LBM263" s="305"/>
      <c r="LBQ263" s="305"/>
      <c r="LBU263" s="305"/>
      <c r="LBY263" s="305"/>
      <c r="LCC263" s="305"/>
      <c r="LCG263" s="305"/>
      <c r="LCK263" s="305"/>
      <c r="LCO263" s="305"/>
      <c r="LCS263" s="305"/>
      <c r="LCW263" s="305"/>
      <c r="LDA263" s="305"/>
      <c r="LDE263" s="305"/>
      <c r="LDI263" s="305"/>
      <c r="LDM263" s="305"/>
      <c r="LDQ263" s="305"/>
      <c r="LDU263" s="305"/>
      <c r="LDY263" s="305"/>
      <c r="LEC263" s="305"/>
      <c r="LEG263" s="305"/>
      <c r="LEK263" s="305"/>
      <c r="LEO263" s="305"/>
      <c r="LES263" s="305"/>
      <c r="LEW263" s="305"/>
      <c r="LFA263" s="305"/>
      <c r="LFE263" s="305"/>
      <c r="LFI263" s="305"/>
      <c r="LFM263" s="305"/>
      <c r="LFQ263" s="305"/>
      <c r="LFU263" s="305"/>
      <c r="LFY263" s="305"/>
      <c r="LGC263" s="305"/>
      <c r="LGG263" s="305"/>
      <c r="LGK263" s="305"/>
      <c r="LGO263" s="305"/>
      <c r="LGS263" s="305"/>
      <c r="LGW263" s="305"/>
      <c r="LHA263" s="305"/>
      <c r="LHE263" s="305"/>
      <c r="LHI263" s="305"/>
      <c r="LHM263" s="305"/>
      <c r="LHQ263" s="305"/>
      <c r="LHU263" s="305"/>
      <c r="LHY263" s="305"/>
      <c r="LIC263" s="305"/>
      <c r="LIG263" s="305"/>
      <c r="LIK263" s="305"/>
      <c r="LIO263" s="305"/>
      <c r="LIS263" s="305"/>
      <c r="LIW263" s="305"/>
      <c r="LJA263" s="305"/>
      <c r="LJE263" s="305"/>
      <c r="LJI263" s="305"/>
      <c r="LJM263" s="305"/>
      <c r="LJQ263" s="305"/>
      <c r="LJU263" s="305"/>
      <c r="LJY263" s="305"/>
      <c r="LKC263" s="305"/>
      <c r="LKG263" s="305"/>
      <c r="LKK263" s="305"/>
      <c r="LKO263" s="305"/>
      <c r="LKS263" s="305"/>
      <c r="LKW263" s="305"/>
      <c r="LLA263" s="305"/>
      <c r="LLE263" s="305"/>
      <c r="LLI263" s="305"/>
      <c r="LLM263" s="305"/>
      <c r="LLQ263" s="305"/>
      <c r="LLU263" s="305"/>
      <c r="LLY263" s="305"/>
      <c r="LMC263" s="305"/>
      <c r="LMG263" s="305"/>
      <c r="LMK263" s="305"/>
      <c r="LMO263" s="305"/>
      <c r="LMS263" s="305"/>
      <c r="LMW263" s="305"/>
      <c r="LNA263" s="305"/>
      <c r="LNE263" s="305"/>
      <c r="LNI263" s="305"/>
      <c r="LNM263" s="305"/>
      <c r="LNQ263" s="305"/>
      <c r="LNU263" s="305"/>
      <c r="LNY263" s="305"/>
      <c r="LOC263" s="305"/>
      <c r="LOG263" s="305"/>
      <c r="LOK263" s="305"/>
      <c r="LOO263" s="305"/>
      <c r="LOS263" s="305"/>
      <c r="LOW263" s="305"/>
      <c r="LPA263" s="305"/>
      <c r="LPE263" s="305"/>
      <c r="LPI263" s="305"/>
      <c r="LPM263" s="305"/>
      <c r="LPQ263" s="305"/>
      <c r="LPU263" s="305"/>
      <c r="LPY263" s="305"/>
      <c r="LQC263" s="305"/>
      <c r="LQG263" s="305"/>
      <c r="LQK263" s="305"/>
      <c r="LQO263" s="305"/>
      <c r="LQS263" s="305"/>
      <c r="LQW263" s="305"/>
      <c r="LRA263" s="305"/>
      <c r="LRE263" s="305"/>
      <c r="LRI263" s="305"/>
      <c r="LRM263" s="305"/>
      <c r="LRQ263" s="305"/>
      <c r="LRU263" s="305"/>
      <c r="LRY263" s="305"/>
      <c r="LSC263" s="305"/>
      <c r="LSG263" s="305"/>
      <c r="LSK263" s="305"/>
      <c r="LSO263" s="305"/>
      <c r="LSS263" s="305"/>
      <c r="LSW263" s="305"/>
      <c r="LTA263" s="305"/>
      <c r="LTE263" s="305"/>
      <c r="LTI263" s="305"/>
      <c r="LTM263" s="305"/>
      <c r="LTQ263" s="305"/>
      <c r="LTU263" s="305"/>
      <c r="LTY263" s="305"/>
      <c r="LUC263" s="305"/>
      <c r="LUG263" s="305"/>
      <c r="LUK263" s="305"/>
      <c r="LUO263" s="305"/>
      <c r="LUS263" s="305"/>
      <c r="LUW263" s="305"/>
      <c r="LVA263" s="305"/>
      <c r="LVE263" s="305"/>
      <c r="LVI263" s="305"/>
      <c r="LVM263" s="305"/>
      <c r="LVQ263" s="305"/>
      <c r="LVU263" s="305"/>
      <c r="LVY263" s="305"/>
      <c r="LWC263" s="305"/>
      <c r="LWG263" s="305"/>
      <c r="LWK263" s="305"/>
      <c r="LWO263" s="305"/>
      <c r="LWS263" s="305"/>
      <c r="LWW263" s="305"/>
      <c r="LXA263" s="305"/>
      <c r="LXE263" s="305"/>
      <c r="LXI263" s="305"/>
      <c r="LXM263" s="305"/>
      <c r="LXQ263" s="305"/>
      <c r="LXU263" s="305"/>
      <c r="LXY263" s="305"/>
      <c r="LYC263" s="305"/>
      <c r="LYG263" s="305"/>
      <c r="LYK263" s="305"/>
      <c r="LYO263" s="305"/>
      <c r="LYS263" s="305"/>
      <c r="LYW263" s="305"/>
      <c r="LZA263" s="305"/>
      <c r="LZE263" s="305"/>
      <c r="LZI263" s="305"/>
      <c r="LZM263" s="305"/>
      <c r="LZQ263" s="305"/>
      <c r="LZU263" s="305"/>
      <c r="LZY263" s="305"/>
      <c r="MAC263" s="305"/>
      <c r="MAG263" s="305"/>
      <c r="MAK263" s="305"/>
      <c r="MAO263" s="305"/>
      <c r="MAS263" s="305"/>
      <c r="MAW263" s="305"/>
      <c r="MBA263" s="305"/>
      <c r="MBE263" s="305"/>
      <c r="MBI263" s="305"/>
      <c r="MBM263" s="305"/>
      <c r="MBQ263" s="305"/>
      <c r="MBU263" s="305"/>
      <c r="MBY263" s="305"/>
      <c r="MCC263" s="305"/>
      <c r="MCG263" s="305"/>
      <c r="MCK263" s="305"/>
      <c r="MCO263" s="305"/>
      <c r="MCS263" s="305"/>
      <c r="MCW263" s="305"/>
      <c r="MDA263" s="305"/>
      <c r="MDE263" s="305"/>
      <c r="MDI263" s="305"/>
      <c r="MDM263" s="305"/>
      <c r="MDQ263" s="305"/>
      <c r="MDU263" s="305"/>
      <c r="MDY263" s="305"/>
      <c r="MEC263" s="305"/>
      <c r="MEG263" s="305"/>
      <c r="MEK263" s="305"/>
      <c r="MEO263" s="305"/>
      <c r="MES263" s="305"/>
      <c r="MEW263" s="305"/>
      <c r="MFA263" s="305"/>
      <c r="MFE263" s="305"/>
      <c r="MFI263" s="305"/>
      <c r="MFM263" s="305"/>
      <c r="MFQ263" s="305"/>
      <c r="MFU263" s="305"/>
      <c r="MFY263" s="305"/>
      <c r="MGC263" s="305"/>
      <c r="MGG263" s="305"/>
      <c r="MGK263" s="305"/>
      <c r="MGO263" s="305"/>
      <c r="MGS263" s="305"/>
      <c r="MGW263" s="305"/>
      <c r="MHA263" s="305"/>
      <c r="MHE263" s="305"/>
      <c r="MHI263" s="305"/>
      <c r="MHM263" s="305"/>
      <c r="MHQ263" s="305"/>
      <c r="MHU263" s="305"/>
      <c r="MHY263" s="305"/>
      <c r="MIC263" s="305"/>
      <c r="MIG263" s="305"/>
      <c r="MIK263" s="305"/>
      <c r="MIO263" s="305"/>
      <c r="MIS263" s="305"/>
      <c r="MIW263" s="305"/>
      <c r="MJA263" s="305"/>
      <c r="MJE263" s="305"/>
      <c r="MJI263" s="305"/>
      <c r="MJM263" s="305"/>
      <c r="MJQ263" s="305"/>
      <c r="MJU263" s="305"/>
      <c r="MJY263" s="305"/>
      <c r="MKC263" s="305"/>
      <c r="MKG263" s="305"/>
      <c r="MKK263" s="305"/>
      <c r="MKO263" s="305"/>
      <c r="MKS263" s="305"/>
      <c r="MKW263" s="305"/>
      <c r="MLA263" s="305"/>
      <c r="MLE263" s="305"/>
      <c r="MLI263" s="305"/>
      <c r="MLM263" s="305"/>
      <c r="MLQ263" s="305"/>
      <c r="MLU263" s="305"/>
      <c r="MLY263" s="305"/>
      <c r="MMC263" s="305"/>
      <c r="MMG263" s="305"/>
      <c r="MMK263" s="305"/>
      <c r="MMO263" s="305"/>
      <c r="MMS263" s="305"/>
      <c r="MMW263" s="305"/>
      <c r="MNA263" s="305"/>
      <c r="MNE263" s="305"/>
      <c r="MNI263" s="305"/>
      <c r="MNM263" s="305"/>
      <c r="MNQ263" s="305"/>
      <c r="MNU263" s="305"/>
      <c r="MNY263" s="305"/>
      <c r="MOC263" s="305"/>
      <c r="MOG263" s="305"/>
      <c r="MOK263" s="305"/>
      <c r="MOO263" s="305"/>
      <c r="MOS263" s="305"/>
      <c r="MOW263" s="305"/>
      <c r="MPA263" s="305"/>
      <c r="MPE263" s="305"/>
      <c r="MPI263" s="305"/>
      <c r="MPM263" s="305"/>
      <c r="MPQ263" s="305"/>
      <c r="MPU263" s="305"/>
      <c r="MPY263" s="305"/>
      <c r="MQC263" s="305"/>
      <c r="MQG263" s="305"/>
      <c r="MQK263" s="305"/>
      <c r="MQO263" s="305"/>
      <c r="MQS263" s="305"/>
      <c r="MQW263" s="305"/>
      <c r="MRA263" s="305"/>
      <c r="MRE263" s="305"/>
      <c r="MRI263" s="305"/>
      <c r="MRM263" s="305"/>
      <c r="MRQ263" s="305"/>
      <c r="MRU263" s="305"/>
      <c r="MRY263" s="305"/>
      <c r="MSC263" s="305"/>
      <c r="MSG263" s="305"/>
      <c r="MSK263" s="305"/>
      <c r="MSO263" s="305"/>
      <c r="MSS263" s="305"/>
      <c r="MSW263" s="305"/>
      <c r="MTA263" s="305"/>
      <c r="MTE263" s="305"/>
      <c r="MTI263" s="305"/>
      <c r="MTM263" s="305"/>
      <c r="MTQ263" s="305"/>
      <c r="MTU263" s="305"/>
      <c r="MTY263" s="305"/>
      <c r="MUC263" s="305"/>
      <c r="MUG263" s="305"/>
      <c r="MUK263" s="305"/>
      <c r="MUO263" s="305"/>
      <c r="MUS263" s="305"/>
      <c r="MUW263" s="305"/>
      <c r="MVA263" s="305"/>
      <c r="MVE263" s="305"/>
      <c r="MVI263" s="305"/>
      <c r="MVM263" s="305"/>
      <c r="MVQ263" s="305"/>
      <c r="MVU263" s="305"/>
      <c r="MVY263" s="305"/>
      <c r="MWC263" s="305"/>
      <c r="MWG263" s="305"/>
      <c r="MWK263" s="305"/>
      <c r="MWO263" s="305"/>
      <c r="MWS263" s="305"/>
      <c r="MWW263" s="305"/>
      <c r="MXA263" s="305"/>
      <c r="MXE263" s="305"/>
      <c r="MXI263" s="305"/>
      <c r="MXM263" s="305"/>
      <c r="MXQ263" s="305"/>
      <c r="MXU263" s="305"/>
      <c r="MXY263" s="305"/>
      <c r="MYC263" s="305"/>
      <c r="MYG263" s="305"/>
      <c r="MYK263" s="305"/>
      <c r="MYO263" s="305"/>
      <c r="MYS263" s="305"/>
      <c r="MYW263" s="305"/>
      <c r="MZA263" s="305"/>
      <c r="MZE263" s="305"/>
      <c r="MZI263" s="305"/>
      <c r="MZM263" s="305"/>
      <c r="MZQ263" s="305"/>
      <c r="MZU263" s="305"/>
      <c r="MZY263" s="305"/>
      <c r="NAC263" s="305"/>
      <c r="NAG263" s="305"/>
      <c r="NAK263" s="305"/>
      <c r="NAO263" s="305"/>
      <c r="NAS263" s="305"/>
      <c r="NAW263" s="305"/>
      <c r="NBA263" s="305"/>
      <c r="NBE263" s="305"/>
      <c r="NBI263" s="305"/>
      <c r="NBM263" s="305"/>
      <c r="NBQ263" s="305"/>
      <c r="NBU263" s="305"/>
      <c r="NBY263" s="305"/>
      <c r="NCC263" s="305"/>
      <c r="NCG263" s="305"/>
      <c r="NCK263" s="305"/>
      <c r="NCO263" s="305"/>
      <c r="NCS263" s="305"/>
      <c r="NCW263" s="305"/>
      <c r="NDA263" s="305"/>
      <c r="NDE263" s="305"/>
      <c r="NDI263" s="305"/>
      <c r="NDM263" s="305"/>
      <c r="NDQ263" s="305"/>
      <c r="NDU263" s="305"/>
      <c r="NDY263" s="305"/>
      <c r="NEC263" s="305"/>
      <c r="NEG263" s="305"/>
      <c r="NEK263" s="305"/>
      <c r="NEO263" s="305"/>
      <c r="NES263" s="305"/>
      <c r="NEW263" s="305"/>
      <c r="NFA263" s="305"/>
      <c r="NFE263" s="305"/>
      <c r="NFI263" s="305"/>
      <c r="NFM263" s="305"/>
      <c r="NFQ263" s="305"/>
      <c r="NFU263" s="305"/>
      <c r="NFY263" s="305"/>
      <c r="NGC263" s="305"/>
      <c r="NGG263" s="305"/>
      <c r="NGK263" s="305"/>
      <c r="NGO263" s="305"/>
      <c r="NGS263" s="305"/>
      <c r="NGW263" s="305"/>
      <c r="NHA263" s="305"/>
      <c r="NHE263" s="305"/>
      <c r="NHI263" s="305"/>
      <c r="NHM263" s="305"/>
      <c r="NHQ263" s="305"/>
      <c r="NHU263" s="305"/>
      <c r="NHY263" s="305"/>
      <c r="NIC263" s="305"/>
      <c r="NIG263" s="305"/>
      <c r="NIK263" s="305"/>
      <c r="NIO263" s="305"/>
      <c r="NIS263" s="305"/>
      <c r="NIW263" s="305"/>
      <c r="NJA263" s="305"/>
      <c r="NJE263" s="305"/>
      <c r="NJI263" s="305"/>
      <c r="NJM263" s="305"/>
      <c r="NJQ263" s="305"/>
      <c r="NJU263" s="305"/>
      <c r="NJY263" s="305"/>
      <c r="NKC263" s="305"/>
      <c r="NKG263" s="305"/>
      <c r="NKK263" s="305"/>
      <c r="NKO263" s="305"/>
      <c r="NKS263" s="305"/>
      <c r="NKW263" s="305"/>
      <c r="NLA263" s="305"/>
      <c r="NLE263" s="305"/>
      <c r="NLI263" s="305"/>
      <c r="NLM263" s="305"/>
      <c r="NLQ263" s="305"/>
      <c r="NLU263" s="305"/>
      <c r="NLY263" s="305"/>
      <c r="NMC263" s="305"/>
      <c r="NMG263" s="305"/>
      <c r="NMK263" s="305"/>
      <c r="NMO263" s="305"/>
      <c r="NMS263" s="305"/>
      <c r="NMW263" s="305"/>
      <c r="NNA263" s="305"/>
      <c r="NNE263" s="305"/>
      <c r="NNI263" s="305"/>
      <c r="NNM263" s="305"/>
      <c r="NNQ263" s="305"/>
      <c r="NNU263" s="305"/>
      <c r="NNY263" s="305"/>
      <c r="NOC263" s="305"/>
      <c r="NOG263" s="305"/>
      <c r="NOK263" s="305"/>
      <c r="NOO263" s="305"/>
      <c r="NOS263" s="305"/>
      <c r="NOW263" s="305"/>
      <c r="NPA263" s="305"/>
      <c r="NPE263" s="305"/>
      <c r="NPI263" s="305"/>
      <c r="NPM263" s="305"/>
      <c r="NPQ263" s="305"/>
      <c r="NPU263" s="305"/>
      <c r="NPY263" s="305"/>
      <c r="NQC263" s="305"/>
      <c r="NQG263" s="305"/>
      <c r="NQK263" s="305"/>
      <c r="NQO263" s="305"/>
      <c r="NQS263" s="305"/>
      <c r="NQW263" s="305"/>
      <c r="NRA263" s="305"/>
      <c r="NRE263" s="305"/>
      <c r="NRI263" s="305"/>
      <c r="NRM263" s="305"/>
      <c r="NRQ263" s="305"/>
      <c r="NRU263" s="305"/>
      <c r="NRY263" s="305"/>
      <c r="NSC263" s="305"/>
      <c r="NSG263" s="305"/>
      <c r="NSK263" s="305"/>
      <c r="NSO263" s="305"/>
      <c r="NSS263" s="305"/>
      <c r="NSW263" s="305"/>
      <c r="NTA263" s="305"/>
      <c r="NTE263" s="305"/>
      <c r="NTI263" s="305"/>
      <c r="NTM263" s="305"/>
      <c r="NTQ263" s="305"/>
      <c r="NTU263" s="305"/>
      <c r="NTY263" s="305"/>
      <c r="NUC263" s="305"/>
      <c r="NUG263" s="305"/>
      <c r="NUK263" s="305"/>
      <c r="NUO263" s="305"/>
      <c r="NUS263" s="305"/>
      <c r="NUW263" s="305"/>
      <c r="NVA263" s="305"/>
      <c r="NVE263" s="305"/>
      <c r="NVI263" s="305"/>
      <c r="NVM263" s="305"/>
      <c r="NVQ263" s="305"/>
      <c r="NVU263" s="305"/>
      <c r="NVY263" s="305"/>
      <c r="NWC263" s="305"/>
      <c r="NWG263" s="305"/>
      <c r="NWK263" s="305"/>
      <c r="NWO263" s="305"/>
      <c r="NWS263" s="305"/>
      <c r="NWW263" s="305"/>
      <c r="NXA263" s="305"/>
      <c r="NXE263" s="305"/>
      <c r="NXI263" s="305"/>
      <c r="NXM263" s="305"/>
      <c r="NXQ263" s="305"/>
      <c r="NXU263" s="305"/>
      <c r="NXY263" s="305"/>
      <c r="NYC263" s="305"/>
      <c r="NYG263" s="305"/>
      <c r="NYK263" s="305"/>
      <c r="NYO263" s="305"/>
      <c r="NYS263" s="305"/>
      <c r="NYW263" s="305"/>
      <c r="NZA263" s="305"/>
      <c r="NZE263" s="305"/>
      <c r="NZI263" s="305"/>
      <c r="NZM263" s="305"/>
      <c r="NZQ263" s="305"/>
      <c r="NZU263" s="305"/>
      <c r="NZY263" s="305"/>
      <c r="OAC263" s="305"/>
      <c r="OAG263" s="305"/>
      <c r="OAK263" s="305"/>
      <c r="OAO263" s="305"/>
      <c r="OAS263" s="305"/>
      <c r="OAW263" s="305"/>
      <c r="OBA263" s="305"/>
      <c r="OBE263" s="305"/>
      <c r="OBI263" s="305"/>
      <c r="OBM263" s="305"/>
      <c r="OBQ263" s="305"/>
      <c r="OBU263" s="305"/>
      <c r="OBY263" s="305"/>
      <c r="OCC263" s="305"/>
      <c r="OCG263" s="305"/>
      <c r="OCK263" s="305"/>
      <c r="OCO263" s="305"/>
      <c r="OCS263" s="305"/>
      <c r="OCW263" s="305"/>
      <c r="ODA263" s="305"/>
      <c r="ODE263" s="305"/>
      <c r="ODI263" s="305"/>
      <c r="ODM263" s="305"/>
      <c r="ODQ263" s="305"/>
      <c r="ODU263" s="305"/>
      <c r="ODY263" s="305"/>
      <c r="OEC263" s="305"/>
      <c r="OEG263" s="305"/>
      <c r="OEK263" s="305"/>
      <c r="OEO263" s="305"/>
      <c r="OES263" s="305"/>
      <c r="OEW263" s="305"/>
      <c r="OFA263" s="305"/>
      <c r="OFE263" s="305"/>
      <c r="OFI263" s="305"/>
      <c r="OFM263" s="305"/>
      <c r="OFQ263" s="305"/>
      <c r="OFU263" s="305"/>
      <c r="OFY263" s="305"/>
      <c r="OGC263" s="305"/>
      <c r="OGG263" s="305"/>
      <c r="OGK263" s="305"/>
      <c r="OGO263" s="305"/>
      <c r="OGS263" s="305"/>
      <c r="OGW263" s="305"/>
      <c r="OHA263" s="305"/>
      <c r="OHE263" s="305"/>
      <c r="OHI263" s="305"/>
      <c r="OHM263" s="305"/>
      <c r="OHQ263" s="305"/>
      <c r="OHU263" s="305"/>
      <c r="OHY263" s="305"/>
      <c r="OIC263" s="305"/>
      <c r="OIG263" s="305"/>
      <c r="OIK263" s="305"/>
      <c r="OIO263" s="305"/>
      <c r="OIS263" s="305"/>
      <c r="OIW263" s="305"/>
      <c r="OJA263" s="305"/>
      <c r="OJE263" s="305"/>
      <c r="OJI263" s="305"/>
      <c r="OJM263" s="305"/>
      <c r="OJQ263" s="305"/>
      <c r="OJU263" s="305"/>
      <c r="OJY263" s="305"/>
      <c r="OKC263" s="305"/>
      <c r="OKG263" s="305"/>
      <c r="OKK263" s="305"/>
      <c r="OKO263" s="305"/>
      <c r="OKS263" s="305"/>
      <c r="OKW263" s="305"/>
      <c r="OLA263" s="305"/>
      <c r="OLE263" s="305"/>
      <c r="OLI263" s="305"/>
      <c r="OLM263" s="305"/>
      <c r="OLQ263" s="305"/>
      <c r="OLU263" s="305"/>
      <c r="OLY263" s="305"/>
      <c r="OMC263" s="305"/>
      <c r="OMG263" s="305"/>
      <c r="OMK263" s="305"/>
      <c r="OMO263" s="305"/>
      <c r="OMS263" s="305"/>
      <c r="OMW263" s="305"/>
      <c r="ONA263" s="305"/>
      <c r="ONE263" s="305"/>
      <c r="ONI263" s="305"/>
      <c r="ONM263" s="305"/>
      <c r="ONQ263" s="305"/>
      <c r="ONU263" s="305"/>
      <c r="ONY263" s="305"/>
      <c r="OOC263" s="305"/>
      <c r="OOG263" s="305"/>
      <c r="OOK263" s="305"/>
      <c r="OOO263" s="305"/>
      <c r="OOS263" s="305"/>
      <c r="OOW263" s="305"/>
      <c r="OPA263" s="305"/>
      <c r="OPE263" s="305"/>
      <c r="OPI263" s="305"/>
      <c r="OPM263" s="305"/>
      <c r="OPQ263" s="305"/>
      <c r="OPU263" s="305"/>
      <c r="OPY263" s="305"/>
      <c r="OQC263" s="305"/>
      <c r="OQG263" s="305"/>
      <c r="OQK263" s="305"/>
      <c r="OQO263" s="305"/>
      <c r="OQS263" s="305"/>
      <c r="OQW263" s="305"/>
      <c r="ORA263" s="305"/>
      <c r="ORE263" s="305"/>
      <c r="ORI263" s="305"/>
      <c r="ORM263" s="305"/>
      <c r="ORQ263" s="305"/>
      <c r="ORU263" s="305"/>
      <c r="ORY263" s="305"/>
      <c r="OSC263" s="305"/>
      <c r="OSG263" s="305"/>
      <c r="OSK263" s="305"/>
      <c r="OSO263" s="305"/>
      <c r="OSS263" s="305"/>
      <c r="OSW263" s="305"/>
      <c r="OTA263" s="305"/>
      <c r="OTE263" s="305"/>
      <c r="OTI263" s="305"/>
      <c r="OTM263" s="305"/>
      <c r="OTQ263" s="305"/>
      <c r="OTU263" s="305"/>
      <c r="OTY263" s="305"/>
      <c r="OUC263" s="305"/>
      <c r="OUG263" s="305"/>
      <c r="OUK263" s="305"/>
      <c r="OUO263" s="305"/>
      <c r="OUS263" s="305"/>
      <c r="OUW263" s="305"/>
      <c r="OVA263" s="305"/>
      <c r="OVE263" s="305"/>
      <c r="OVI263" s="305"/>
      <c r="OVM263" s="305"/>
      <c r="OVQ263" s="305"/>
      <c r="OVU263" s="305"/>
      <c r="OVY263" s="305"/>
      <c r="OWC263" s="305"/>
      <c r="OWG263" s="305"/>
      <c r="OWK263" s="305"/>
      <c r="OWO263" s="305"/>
      <c r="OWS263" s="305"/>
      <c r="OWW263" s="305"/>
      <c r="OXA263" s="305"/>
      <c r="OXE263" s="305"/>
      <c r="OXI263" s="305"/>
      <c r="OXM263" s="305"/>
      <c r="OXQ263" s="305"/>
      <c r="OXU263" s="305"/>
      <c r="OXY263" s="305"/>
      <c r="OYC263" s="305"/>
      <c r="OYG263" s="305"/>
      <c r="OYK263" s="305"/>
      <c r="OYO263" s="305"/>
      <c r="OYS263" s="305"/>
      <c r="OYW263" s="305"/>
      <c r="OZA263" s="305"/>
      <c r="OZE263" s="305"/>
      <c r="OZI263" s="305"/>
      <c r="OZM263" s="305"/>
      <c r="OZQ263" s="305"/>
      <c r="OZU263" s="305"/>
      <c r="OZY263" s="305"/>
      <c r="PAC263" s="305"/>
      <c r="PAG263" s="305"/>
      <c r="PAK263" s="305"/>
      <c r="PAO263" s="305"/>
      <c r="PAS263" s="305"/>
      <c r="PAW263" s="305"/>
      <c r="PBA263" s="305"/>
      <c r="PBE263" s="305"/>
      <c r="PBI263" s="305"/>
      <c r="PBM263" s="305"/>
      <c r="PBQ263" s="305"/>
      <c r="PBU263" s="305"/>
      <c r="PBY263" s="305"/>
      <c r="PCC263" s="305"/>
      <c r="PCG263" s="305"/>
      <c r="PCK263" s="305"/>
      <c r="PCO263" s="305"/>
      <c r="PCS263" s="305"/>
      <c r="PCW263" s="305"/>
      <c r="PDA263" s="305"/>
      <c r="PDE263" s="305"/>
      <c r="PDI263" s="305"/>
      <c r="PDM263" s="305"/>
      <c r="PDQ263" s="305"/>
      <c r="PDU263" s="305"/>
      <c r="PDY263" s="305"/>
      <c r="PEC263" s="305"/>
      <c r="PEG263" s="305"/>
      <c r="PEK263" s="305"/>
      <c r="PEO263" s="305"/>
      <c r="PES263" s="305"/>
      <c r="PEW263" s="305"/>
      <c r="PFA263" s="305"/>
      <c r="PFE263" s="305"/>
      <c r="PFI263" s="305"/>
      <c r="PFM263" s="305"/>
      <c r="PFQ263" s="305"/>
      <c r="PFU263" s="305"/>
      <c r="PFY263" s="305"/>
      <c r="PGC263" s="305"/>
      <c r="PGG263" s="305"/>
      <c r="PGK263" s="305"/>
      <c r="PGO263" s="305"/>
      <c r="PGS263" s="305"/>
      <c r="PGW263" s="305"/>
      <c r="PHA263" s="305"/>
      <c r="PHE263" s="305"/>
      <c r="PHI263" s="305"/>
      <c r="PHM263" s="305"/>
      <c r="PHQ263" s="305"/>
      <c r="PHU263" s="305"/>
      <c r="PHY263" s="305"/>
      <c r="PIC263" s="305"/>
      <c r="PIG263" s="305"/>
      <c r="PIK263" s="305"/>
      <c r="PIO263" s="305"/>
      <c r="PIS263" s="305"/>
      <c r="PIW263" s="305"/>
      <c r="PJA263" s="305"/>
      <c r="PJE263" s="305"/>
      <c r="PJI263" s="305"/>
      <c r="PJM263" s="305"/>
      <c r="PJQ263" s="305"/>
      <c r="PJU263" s="305"/>
      <c r="PJY263" s="305"/>
      <c r="PKC263" s="305"/>
      <c r="PKG263" s="305"/>
      <c r="PKK263" s="305"/>
      <c r="PKO263" s="305"/>
      <c r="PKS263" s="305"/>
      <c r="PKW263" s="305"/>
      <c r="PLA263" s="305"/>
      <c r="PLE263" s="305"/>
      <c r="PLI263" s="305"/>
      <c r="PLM263" s="305"/>
      <c r="PLQ263" s="305"/>
      <c r="PLU263" s="305"/>
      <c r="PLY263" s="305"/>
      <c r="PMC263" s="305"/>
      <c r="PMG263" s="305"/>
      <c r="PMK263" s="305"/>
      <c r="PMO263" s="305"/>
      <c r="PMS263" s="305"/>
      <c r="PMW263" s="305"/>
      <c r="PNA263" s="305"/>
      <c r="PNE263" s="305"/>
      <c r="PNI263" s="305"/>
      <c r="PNM263" s="305"/>
      <c r="PNQ263" s="305"/>
      <c r="PNU263" s="305"/>
      <c r="PNY263" s="305"/>
      <c r="POC263" s="305"/>
      <c r="POG263" s="305"/>
      <c r="POK263" s="305"/>
      <c r="POO263" s="305"/>
      <c r="POS263" s="305"/>
      <c r="POW263" s="305"/>
      <c r="PPA263" s="305"/>
      <c r="PPE263" s="305"/>
      <c r="PPI263" s="305"/>
      <c r="PPM263" s="305"/>
      <c r="PPQ263" s="305"/>
      <c r="PPU263" s="305"/>
      <c r="PPY263" s="305"/>
      <c r="PQC263" s="305"/>
      <c r="PQG263" s="305"/>
      <c r="PQK263" s="305"/>
      <c r="PQO263" s="305"/>
      <c r="PQS263" s="305"/>
      <c r="PQW263" s="305"/>
      <c r="PRA263" s="305"/>
      <c r="PRE263" s="305"/>
      <c r="PRI263" s="305"/>
      <c r="PRM263" s="305"/>
      <c r="PRQ263" s="305"/>
      <c r="PRU263" s="305"/>
      <c r="PRY263" s="305"/>
      <c r="PSC263" s="305"/>
      <c r="PSG263" s="305"/>
      <c r="PSK263" s="305"/>
      <c r="PSO263" s="305"/>
      <c r="PSS263" s="305"/>
      <c r="PSW263" s="305"/>
      <c r="PTA263" s="305"/>
      <c r="PTE263" s="305"/>
      <c r="PTI263" s="305"/>
      <c r="PTM263" s="305"/>
      <c r="PTQ263" s="305"/>
      <c r="PTU263" s="305"/>
      <c r="PTY263" s="305"/>
      <c r="PUC263" s="305"/>
      <c r="PUG263" s="305"/>
      <c r="PUK263" s="305"/>
      <c r="PUO263" s="305"/>
      <c r="PUS263" s="305"/>
      <c r="PUW263" s="305"/>
      <c r="PVA263" s="305"/>
      <c r="PVE263" s="305"/>
      <c r="PVI263" s="305"/>
      <c r="PVM263" s="305"/>
      <c r="PVQ263" s="305"/>
      <c r="PVU263" s="305"/>
      <c r="PVY263" s="305"/>
      <c r="PWC263" s="305"/>
      <c r="PWG263" s="305"/>
      <c r="PWK263" s="305"/>
      <c r="PWO263" s="305"/>
      <c r="PWS263" s="305"/>
      <c r="PWW263" s="305"/>
      <c r="PXA263" s="305"/>
      <c r="PXE263" s="305"/>
      <c r="PXI263" s="305"/>
      <c r="PXM263" s="305"/>
      <c r="PXQ263" s="305"/>
      <c r="PXU263" s="305"/>
      <c r="PXY263" s="305"/>
      <c r="PYC263" s="305"/>
      <c r="PYG263" s="305"/>
      <c r="PYK263" s="305"/>
      <c r="PYO263" s="305"/>
      <c r="PYS263" s="305"/>
      <c r="PYW263" s="305"/>
      <c r="PZA263" s="305"/>
      <c r="PZE263" s="305"/>
      <c r="PZI263" s="305"/>
      <c r="PZM263" s="305"/>
      <c r="PZQ263" s="305"/>
      <c r="PZU263" s="305"/>
      <c r="PZY263" s="305"/>
      <c r="QAC263" s="305"/>
      <c r="QAG263" s="305"/>
      <c r="QAK263" s="305"/>
      <c r="QAO263" s="305"/>
      <c r="QAS263" s="305"/>
      <c r="QAW263" s="305"/>
      <c r="QBA263" s="305"/>
      <c r="QBE263" s="305"/>
      <c r="QBI263" s="305"/>
      <c r="QBM263" s="305"/>
      <c r="QBQ263" s="305"/>
      <c r="QBU263" s="305"/>
      <c r="QBY263" s="305"/>
      <c r="QCC263" s="305"/>
      <c r="QCG263" s="305"/>
      <c r="QCK263" s="305"/>
      <c r="QCO263" s="305"/>
      <c r="QCS263" s="305"/>
      <c r="QCW263" s="305"/>
      <c r="QDA263" s="305"/>
      <c r="QDE263" s="305"/>
      <c r="QDI263" s="305"/>
      <c r="QDM263" s="305"/>
      <c r="QDQ263" s="305"/>
      <c r="QDU263" s="305"/>
      <c r="QDY263" s="305"/>
      <c r="QEC263" s="305"/>
      <c r="QEG263" s="305"/>
      <c r="QEK263" s="305"/>
      <c r="QEO263" s="305"/>
      <c r="QES263" s="305"/>
      <c r="QEW263" s="305"/>
      <c r="QFA263" s="305"/>
      <c r="QFE263" s="305"/>
      <c r="QFI263" s="305"/>
      <c r="QFM263" s="305"/>
      <c r="QFQ263" s="305"/>
      <c r="QFU263" s="305"/>
      <c r="QFY263" s="305"/>
      <c r="QGC263" s="305"/>
      <c r="QGG263" s="305"/>
      <c r="QGK263" s="305"/>
      <c r="QGO263" s="305"/>
      <c r="QGS263" s="305"/>
      <c r="QGW263" s="305"/>
      <c r="QHA263" s="305"/>
      <c r="QHE263" s="305"/>
      <c r="QHI263" s="305"/>
      <c r="QHM263" s="305"/>
      <c r="QHQ263" s="305"/>
      <c r="QHU263" s="305"/>
      <c r="QHY263" s="305"/>
      <c r="QIC263" s="305"/>
      <c r="QIG263" s="305"/>
      <c r="QIK263" s="305"/>
      <c r="QIO263" s="305"/>
      <c r="QIS263" s="305"/>
      <c r="QIW263" s="305"/>
      <c r="QJA263" s="305"/>
      <c r="QJE263" s="305"/>
      <c r="QJI263" s="305"/>
      <c r="QJM263" s="305"/>
      <c r="QJQ263" s="305"/>
      <c r="QJU263" s="305"/>
      <c r="QJY263" s="305"/>
      <c r="QKC263" s="305"/>
      <c r="QKG263" s="305"/>
      <c r="QKK263" s="305"/>
      <c r="QKO263" s="305"/>
      <c r="QKS263" s="305"/>
      <c r="QKW263" s="305"/>
      <c r="QLA263" s="305"/>
      <c r="QLE263" s="305"/>
      <c r="QLI263" s="305"/>
      <c r="QLM263" s="305"/>
      <c r="QLQ263" s="305"/>
      <c r="QLU263" s="305"/>
      <c r="QLY263" s="305"/>
      <c r="QMC263" s="305"/>
      <c r="QMG263" s="305"/>
      <c r="QMK263" s="305"/>
      <c r="QMO263" s="305"/>
      <c r="QMS263" s="305"/>
      <c r="QMW263" s="305"/>
      <c r="QNA263" s="305"/>
      <c r="QNE263" s="305"/>
      <c r="QNI263" s="305"/>
      <c r="QNM263" s="305"/>
      <c r="QNQ263" s="305"/>
      <c r="QNU263" s="305"/>
      <c r="QNY263" s="305"/>
      <c r="QOC263" s="305"/>
      <c r="QOG263" s="305"/>
      <c r="QOK263" s="305"/>
      <c r="QOO263" s="305"/>
      <c r="QOS263" s="305"/>
      <c r="QOW263" s="305"/>
      <c r="QPA263" s="305"/>
      <c r="QPE263" s="305"/>
      <c r="QPI263" s="305"/>
      <c r="QPM263" s="305"/>
      <c r="QPQ263" s="305"/>
      <c r="QPU263" s="305"/>
      <c r="QPY263" s="305"/>
      <c r="QQC263" s="305"/>
      <c r="QQG263" s="305"/>
      <c r="QQK263" s="305"/>
      <c r="QQO263" s="305"/>
      <c r="QQS263" s="305"/>
      <c r="QQW263" s="305"/>
      <c r="QRA263" s="305"/>
      <c r="QRE263" s="305"/>
      <c r="QRI263" s="305"/>
      <c r="QRM263" s="305"/>
      <c r="QRQ263" s="305"/>
      <c r="QRU263" s="305"/>
      <c r="QRY263" s="305"/>
      <c r="QSC263" s="305"/>
      <c r="QSG263" s="305"/>
      <c r="QSK263" s="305"/>
      <c r="QSO263" s="305"/>
      <c r="QSS263" s="305"/>
      <c r="QSW263" s="305"/>
      <c r="QTA263" s="305"/>
      <c r="QTE263" s="305"/>
      <c r="QTI263" s="305"/>
      <c r="QTM263" s="305"/>
      <c r="QTQ263" s="305"/>
      <c r="QTU263" s="305"/>
      <c r="QTY263" s="305"/>
      <c r="QUC263" s="305"/>
      <c r="QUG263" s="305"/>
      <c r="QUK263" s="305"/>
      <c r="QUO263" s="305"/>
      <c r="QUS263" s="305"/>
      <c r="QUW263" s="305"/>
      <c r="QVA263" s="305"/>
      <c r="QVE263" s="305"/>
      <c r="QVI263" s="305"/>
      <c r="QVM263" s="305"/>
      <c r="QVQ263" s="305"/>
      <c r="QVU263" s="305"/>
      <c r="QVY263" s="305"/>
      <c r="QWC263" s="305"/>
      <c r="QWG263" s="305"/>
      <c r="QWK263" s="305"/>
      <c r="QWO263" s="305"/>
      <c r="QWS263" s="305"/>
      <c r="QWW263" s="305"/>
      <c r="QXA263" s="305"/>
      <c r="QXE263" s="305"/>
      <c r="QXI263" s="305"/>
      <c r="QXM263" s="305"/>
      <c r="QXQ263" s="305"/>
      <c r="QXU263" s="305"/>
      <c r="QXY263" s="305"/>
      <c r="QYC263" s="305"/>
      <c r="QYG263" s="305"/>
      <c r="QYK263" s="305"/>
      <c r="QYO263" s="305"/>
      <c r="QYS263" s="305"/>
      <c r="QYW263" s="305"/>
      <c r="QZA263" s="305"/>
      <c r="QZE263" s="305"/>
      <c r="QZI263" s="305"/>
      <c r="QZM263" s="305"/>
      <c r="QZQ263" s="305"/>
      <c r="QZU263" s="305"/>
      <c r="QZY263" s="305"/>
      <c r="RAC263" s="305"/>
      <c r="RAG263" s="305"/>
      <c r="RAK263" s="305"/>
      <c r="RAO263" s="305"/>
      <c r="RAS263" s="305"/>
      <c r="RAW263" s="305"/>
      <c r="RBA263" s="305"/>
      <c r="RBE263" s="305"/>
      <c r="RBI263" s="305"/>
      <c r="RBM263" s="305"/>
      <c r="RBQ263" s="305"/>
      <c r="RBU263" s="305"/>
      <c r="RBY263" s="305"/>
      <c r="RCC263" s="305"/>
      <c r="RCG263" s="305"/>
      <c r="RCK263" s="305"/>
      <c r="RCO263" s="305"/>
      <c r="RCS263" s="305"/>
      <c r="RCW263" s="305"/>
      <c r="RDA263" s="305"/>
      <c r="RDE263" s="305"/>
      <c r="RDI263" s="305"/>
      <c r="RDM263" s="305"/>
      <c r="RDQ263" s="305"/>
      <c r="RDU263" s="305"/>
      <c r="RDY263" s="305"/>
      <c r="REC263" s="305"/>
      <c r="REG263" s="305"/>
      <c r="REK263" s="305"/>
      <c r="REO263" s="305"/>
      <c r="RES263" s="305"/>
      <c r="REW263" s="305"/>
      <c r="RFA263" s="305"/>
      <c r="RFE263" s="305"/>
      <c r="RFI263" s="305"/>
      <c r="RFM263" s="305"/>
      <c r="RFQ263" s="305"/>
      <c r="RFU263" s="305"/>
      <c r="RFY263" s="305"/>
      <c r="RGC263" s="305"/>
      <c r="RGG263" s="305"/>
      <c r="RGK263" s="305"/>
      <c r="RGO263" s="305"/>
      <c r="RGS263" s="305"/>
      <c r="RGW263" s="305"/>
      <c r="RHA263" s="305"/>
      <c r="RHE263" s="305"/>
      <c r="RHI263" s="305"/>
      <c r="RHM263" s="305"/>
      <c r="RHQ263" s="305"/>
      <c r="RHU263" s="305"/>
      <c r="RHY263" s="305"/>
      <c r="RIC263" s="305"/>
      <c r="RIG263" s="305"/>
      <c r="RIK263" s="305"/>
      <c r="RIO263" s="305"/>
      <c r="RIS263" s="305"/>
      <c r="RIW263" s="305"/>
      <c r="RJA263" s="305"/>
      <c r="RJE263" s="305"/>
      <c r="RJI263" s="305"/>
      <c r="RJM263" s="305"/>
      <c r="RJQ263" s="305"/>
      <c r="RJU263" s="305"/>
      <c r="RJY263" s="305"/>
      <c r="RKC263" s="305"/>
      <c r="RKG263" s="305"/>
      <c r="RKK263" s="305"/>
      <c r="RKO263" s="305"/>
      <c r="RKS263" s="305"/>
      <c r="RKW263" s="305"/>
      <c r="RLA263" s="305"/>
      <c r="RLE263" s="305"/>
      <c r="RLI263" s="305"/>
      <c r="RLM263" s="305"/>
      <c r="RLQ263" s="305"/>
      <c r="RLU263" s="305"/>
      <c r="RLY263" s="305"/>
      <c r="RMC263" s="305"/>
      <c r="RMG263" s="305"/>
      <c r="RMK263" s="305"/>
      <c r="RMO263" s="305"/>
      <c r="RMS263" s="305"/>
      <c r="RMW263" s="305"/>
      <c r="RNA263" s="305"/>
      <c r="RNE263" s="305"/>
      <c r="RNI263" s="305"/>
      <c r="RNM263" s="305"/>
      <c r="RNQ263" s="305"/>
      <c r="RNU263" s="305"/>
      <c r="RNY263" s="305"/>
      <c r="ROC263" s="305"/>
      <c r="ROG263" s="305"/>
      <c r="ROK263" s="305"/>
      <c r="ROO263" s="305"/>
      <c r="ROS263" s="305"/>
      <c r="ROW263" s="305"/>
      <c r="RPA263" s="305"/>
      <c r="RPE263" s="305"/>
      <c r="RPI263" s="305"/>
      <c r="RPM263" s="305"/>
      <c r="RPQ263" s="305"/>
      <c r="RPU263" s="305"/>
      <c r="RPY263" s="305"/>
      <c r="RQC263" s="305"/>
      <c r="RQG263" s="305"/>
      <c r="RQK263" s="305"/>
      <c r="RQO263" s="305"/>
      <c r="RQS263" s="305"/>
      <c r="RQW263" s="305"/>
      <c r="RRA263" s="305"/>
      <c r="RRE263" s="305"/>
      <c r="RRI263" s="305"/>
      <c r="RRM263" s="305"/>
      <c r="RRQ263" s="305"/>
      <c r="RRU263" s="305"/>
      <c r="RRY263" s="305"/>
      <c r="RSC263" s="305"/>
      <c r="RSG263" s="305"/>
      <c r="RSK263" s="305"/>
      <c r="RSO263" s="305"/>
      <c r="RSS263" s="305"/>
      <c r="RSW263" s="305"/>
      <c r="RTA263" s="305"/>
      <c r="RTE263" s="305"/>
      <c r="RTI263" s="305"/>
      <c r="RTM263" s="305"/>
      <c r="RTQ263" s="305"/>
      <c r="RTU263" s="305"/>
      <c r="RTY263" s="305"/>
      <c r="RUC263" s="305"/>
      <c r="RUG263" s="305"/>
      <c r="RUK263" s="305"/>
      <c r="RUO263" s="305"/>
      <c r="RUS263" s="305"/>
      <c r="RUW263" s="305"/>
      <c r="RVA263" s="305"/>
      <c r="RVE263" s="305"/>
      <c r="RVI263" s="305"/>
      <c r="RVM263" s="305"/>
      <c r="RVQ263" s="305"/>
      <c r="RVU263" s="305"/>
      <c r="RVY263" s="305"/>
      <c r="RWC263" s="305"/>
      <c r="RWG263" s="305"/>
      <c r="RWK263" s="305"/>
      <c r="RWO263" s="305"/>
      <c r="RWS263" s="305"/>
      <c r="RWW263" s="305"/>
      <c r="RXA263" s="305"/>
      <c r="RXE263" s="305"/>
      <c r="RXI263" s="305"/>
      <c r="RXM263" s="305"/>
      <c r="RXQ263" s="305"/>
      <c r="RXU263" s="305"/>
      <c r="RXY263" s="305"/>
      <c r="RYC263" s="305"/>
      <c r="RYG263" s="305"/>
      <c r="RYK263" s="305"/>
      <c r="RYO263" s="305"/>
      <c r="RYS263" s="305"/>
      <c r="RYW263" s="305"/>
      <c r="RZA263" s="305"/>
      <c r="RZE263" s="305"/>
      <c r="RZI263" s="305"/>
      <c r="RZM263" s="305"/>
      <c r="RZQ263" s="305"/>
      <c r="RZU263" s="305"/>
      <c r="RZY263" s="305"/>
      <c r="SAC263" s="305"/>
      <c r="SAG263" s="305"/>
      <c r="SAK263" s="305"/>
      <c r="SAO263" s="305"/>
      <c r="SAS263" s="305"/>
      <c r="SAW263" s="305"/>
      <c r="SBA263" s="305"/>
      <c r="SBE263" s="305"/>
      <c r="SBI263" s="305"/>
      <c r="SBM263" s="305"/>
      <c r="SBQ263" s="305"/>
      <c r="SBU263" s="305"/>
      <c r="SBY263" s="305"/>
      <c r="SCC263" s="305"/>
      <c r="SCG263" s="305"/>
      <c r="SCK263" s="305"/>
      <c r="SCO263" s="305"/>
      <c r="SCS263" s="305"/>
      <c r="SCW263" s="305"/>
      <c r="SDA263" s="305"/>
      <c r="SDE263" s="305"/>
      <c r="SDI263" s="305"/>
      <c r="SDM263" s="305"/>
      <c r="SDQ263" s="305"/>
      <c r="SDU263" s="305"/>
      <c r="SDY263" s="305"/>
      <c r="SEC263" s="305"/>
      <c r="SEG263" s="305"/>
      <c r="SEK263" s="305"/>
      <c r="SEO263" s="305"/>
      <c r="SES263" s="305"/>
      <c r="SEW263" s="305"/>
      <c r="SFA263" s="305"/>
      <c r="SFE263" s="305"/>
      <c r="SFI263" s="305"/>
      <c r="SFM263" s="305"/>
      <c r="SFQ263" s="305"/>
      <c r="SFU263" s="305"/>
      <c r="SFY263" s="305"/>
      <c r="SGC263" s="305"/>
      <c r="SGG263" s="305"/>
      <c r="SGK263" s="305"/>
      <c r="SGO263" s="305"/>
      <c r="SGS263" s="305"/>
      <c r="SGW263" s="305"/>
      <c r="SHA263" s="305"/>
      <c r="SHE263" s="305"/>
      <c r="SHI263" s="305"/>
      <c r="SHM263" s="305"/>
      <c r="SHQ263" s="305"/>
      <c r="SHU263" s="305"/>
      <c r="SHY263" s="305"/>
      <c r="SIC263" s="305"/>
      <c r="SIG263" s="305"/>
      <c r="SIK263" s="305"/>
      <c r="SIO263" s="305"/>
      <c r="SIS263" s="305"/>
      <c r="SIW263" s="305"/>
      <c r="SJA263" s="305"/>
      <c r="SJE263" s="305"/>
      <c r="SJI263" s="305"/>
      <c r="SJM263" s="305"/>
      <c r="SJQ263" s="305"/>
      <c r="SJU263" s="305"/>
      <c r="SJY263" s="305"/>
      <c r="SKC263" s="305"/>
      <c r="SKG263" s="305"/>
      <c r="SKK263" s="305"/>
      <c r="SKO263" s="305"/>
      <c r="SKS263" s="305"/>
      <c r="SKW263" s="305"/>
      <c r="SLA263" s="305"/>
      <c r="SLE263" s="305"/>
      <c r="SLI263" s="305"/>
      <c r="SLM263" s="305"/>
      <c r="SLQ263" s="305"/>
      <c r="SLU263" s="305"/>
      <c r="SLY263" s="305"/>
      <c r="SMC263" s="305"/>
      <c r="SMG263" s="305"/>
      <c r="SMK263" s="305"/>
      <c r="SMO263" s="305"/>
      <c r="SMS263" s="305"/>
      <c r="SMW263" s="305"/>
      <c r="SNA263" s="305"/>
      <c r="SNE263" s="305"/>
      <c r="SNI263" s="305"/>
      <c r="SNM263" s="305"/>
      <c r="SNQ263" s="305"/>
      <c r="SNU263" s="305"/>
      <c r="SNY263" s="305"/>
      <c r="SOC263" s="305"/>
      <c r="SOG263" s="305"/>
      <c r="SOK263" s="305"/>
      <c r="SOO263" s="305"/>
      <c r="SOS263" s="305"/>
      <c r="SOW263" s="305"/>
      <c r="SPA263" s="305"/>
      <c r="SPE263" s="305"/>
      <c r="SPI263" s="305"/>
      <c r="SPM263" s="305"/>
      <c r="SPQ263" s="305"/>
      <c r="SPU263" s="305"/>
      <c r="SPY263" s="305"/>
      <c r="SQC263" s="305"/>
      <c r="SQG263" s="305"/>
      <c r="SQK263" s="305"/>
      <c r="SQO263" s="305"/>
      <c r="SQS263" s="305"/>
      <c r="SQW263" s="305"/>
      <c r="SRA263" s="305"/>
      <c r="SRE263" s="305"/>
      <c r="SRI263" s="305"/>
      <c r="SRM263" s="305"/>
      <c r="SRQ263" s="305"/>
      <c r="SRU263" s="305"/>
      <c r="SRY263" s="305"/>
      <c r="SSC263" s="305"/>
      <c r="SSG263" s="305"/>
      <c r="SSK263" s="305"/>
      <c r="SSO263" s="305"/>
      <c r="SSS263" s="305"/>
      <c r="SSW263" s="305"/>
      <c r="STA263" s="305"/>
      <c r="STE263" s="305"/>
      <c r="STI263" s="305"/>
      <c r="STM263" s="305"/>
      <c r="STQ263" s="305"/>
      <c r="STU263" s="305"/>
      <c r="STY263" s="305"/>
      <c r="SUC263" s="305"/>
      <c r="SUG263" s="305"/>
      <c r="SUK263" s="305"/>
      <c r="SUO263" s="305"/>
      <c r="SUS263" s="305"/>
      <c r="SUW263" s="305"/>
      <c r="SVA263" s="305"/>
      <c r="SVE263" s="305"/>
      <c r="SVI263" s="305"/>
      <c r="SVM263" s="305"/>
      <c r="SVQ263" s="305"/>
      <c r="SVU263" s="305"/>
      <c r="SVY263" s="305"/>
      <c r="SWC263" s="305"/>
      <c r="SWG263" s="305"/>
      <c r="SWK263" s="305"/>
      <c r="SWO263" s="305"/>
      <c r="SWS263" s="305"/>
      <c r="SWW263" s="305"/>
      <c r="SXA263" s="305"/>
      <c r="SXE263" s="305"/>
      <c r="SXI263" s="305"/>
      <c r="SXM263" s="305"/>
      <c r="SXQ263" s="305"/>
      <c r="SXU263" s="305"/>
      <c r="SXY263" s="305"/>
      <c r="SYC263" s="305"/>
      <c r="SYG263" s="305"/>
      <c r="SYK263" s="305"/>
      <c r="SYO263" s="305"/>
      <c r="SYS263" s="305"/>
      <c r="SYW263" s="305"/>
      <c r="SZA263" s="305"/>
      <c r="SZE263" s="305"/>
      <c r="SZI263" s="305"/>
      <c r="SZM263" s="305"/>
      <c r="SZQ263" s="305"/>
      <c r="SZU263" s="305"/>
      <c r="SZY263" s="305"/>
      <c r="TAC263" s="305"/>
      <c r="TAG263" s="305"/>
      <c r="TAK263" s="305"/>
      <c r="TAO263" s="305"/>
      <c r="TAS263" s="305"/>
      <c r="TAW263" s="305"/>
      <c r="TBA263" s="305"/>
      <c r="TBE263" s="305"/>
      <c r="TBI263" s="305"/>
      <c r="TBM263" s="305"/>
      <c r="TBQ263" s="305"/>
      <c r="TBU263" s="305"/>
      <c r="TBY263" s="305"/>
      <c r="TCC263" s="305"/>
      <c r="TCG263" s="305"/>
      <c r="TCK263" s="305"/>
      <c r="TCO263" s="305"/>
      <c r="TCS263" s="305"/>
      <c r="TCW263" s="305"/>
      <c r="TDA263" s="305"/>
      <c r="TDE263" s="305"/>
      <c r="TDI263" s="305"/>
      <c r="TDM263" s="305"/>
      <c r="TDQ263" s="305"/>
      <c r="TDU263" s="305"/>
      <c r="TDY263" s="305"/>
      <c r="TEC263" s="305"/>
      <c r="TEG263" s="305"/>
      <c r="TEK263" s="305"/>
      <c r="TEO263" s="305"/>
      <c r="TES263" s="305"/>
      <c r="TEW263" s="305"/>
      <c r="TFA263" s="305"/>
      <c r="TFE263" s="305"/>
      <c r="TFI263" s="305"/>
      <c r="TFM263" s="305"/>
      <c r="TFQ263" s="305"/>
      <c r="TFU263" s="305"/>
      <c r="TFY263" s="305"/>
      <c r="TGC263" s="305"/>
      <c r="TGG263" s="305"/>
      <c r="TGK263" s="305"/>
      <c r="TGO263" s="305"/>
      <c r="TGS263" s="305"/>
      <c r="TGW263" s="305"/>
      <c r="THA263" s="305"/>
      <c r="THE263" s="305"/>
      <c r="THI263" s="305"/>
      <c r="THM263" s="305"/>
      <c r="THQ263" s="305"/>
      <c r="THU263" s="305"/>
      <c r="THY263" s="305"/>
      <c r="TIC263" s="305"/>
      <c r="TIG263" s="305"/>
      <c r="TIK263" s="305"/>
      <c r="TIO263" s="305"/>
      <c r="TIS263" s="305"/>
      <c r="TIW263" s="305"/>
      <c r="TJA263" s="305"/>
      <c r="TJE263" s="305"/>
      <c r="TJI263" s="305"/>
      <c r="TJM263" s="305"/>
      <c r="TJQ263" s="305"/>
      <c r="TJU263" s="305"/>
      <c r="TJY263" s="305"/>
      <c r="TKC263" s="305"/>
      <c r="TKG263" s="305"/>
      <c r="TKK263" s="305"/>
      <c r="TKO263" s="305"/>
      <c r="TKS263" s="305"/>
      <c r="TKW263" s="305"/>
      <c r="TLA263" s="305"/>
      <c r="TLE263" s="305"/>
      <c r="TLI263" s="305"/>
      <c r="TLM263" s="305"/>
      <c r="TLQ263" s="305"/>
      <c r="TLU263" s="305"/>
      <c r="TLY263" s="305"/>
      <c r="TMC263" s="305"/>
      <c r="TMG263" s="305"/>
      <c r="TMK263" s="305"/>
      <c r="TMO263" s="305"/>
      <c r="TMS263" s="305"/>
      <c r="TMW263" s="305"/>
      <c r="TNA263" s="305"/>
      <c r="TNE263" s="305"/>
      <c r="TNI263" s="305"/>
      <c r="TNM263" s="305"/>
      <c r="TNQ263" s="305"/>
      <c r="TNU263" s="305"/>
      <c r="TNY263" s="305"/>
      <c r="TOC263" s="305"/>
      <c r="TOG263" s="305"/>
      <c r="TOK263" s="305"/>
      <c r="TOO263" s="305"/>
      <c r="TOS263" s="305"/>
      <c r="TOW263" s="305"/>
      <c r="TPA263" s="305"/>
      <c r="TPE263" s="305"/>
      <c r="TPI263" s="305"/>
      <c r="TPM263" s="305"/>
      <c r="TPQ263" s="305"/>
      <c r="TPU263" s="305"/>
      <c r="TPY263" s="305"/>
      <c r="TQC263" s="305"/>
      <c r="TQG263" s="305"/>
      <c r="TQK263" s="305"/>
      <c r="TQO263" s="305"/>
      <c r="TQS263" s="305"/>
      <c r="TQW263" s="305"/>
      <c r="TRA263" s="305"/>
      <c r="TRE263" s="305"/>
      <c r="TRI263" s="305"/>
      <c r="TRM263" s="305"/>
      <c r="TRQ263" s="305"/>
      <c r="TRU263" s="305"/>
      <c r="TRY263" s="305"/>
      <c r="TSC263" s="305"/>
      <c r="TSG263" s="305"/>
      <c r="TSK263" s="305"/>
      <c r="TSO263" s="305"/>
      <c r="TSS263" s="305"/>
      <c r="TSW263" s="305"/>
      <c r="TTA263" s="305"/>
      <c r="TTE263" s="305"/>
      <c r="TTI263" s="305"/>
      <c r="TTM263" s="305"/>
      <c r="TTQ263" s="305"/>
      <c r="TTU263" s="305"/>
      <c r="TTY263" s="305"/>
      <c r="TUC263" s="305"/>
      <c r="TUG263" s="305"/>
      <c r="TUK263" s="305"/>
      <c r="TUO263" s="305"/>
      <c r="TUS263" s="305"/>
      <c r="TUW263" s="305"/>
      <c r="TVA263" s="305"/>
      <c r="TVE263" s="305"/>
      <c r="TVI263" s="305"/>
      <c r="TVM263" s="305"/>
      <c r="TVQ263" s="305"/>
      <c r="TVU263" s="305"/>
      <c r="TVY263" s="305"/>
      <c r="TWC263" s="305"/>
      <c r="TWG263" s="305"/>
      <c r="TWK263" s="305"/>
      <c r="TWO263" s="305"/>
      <c r="TWS263" s="305"/>
      <c r="TWW263" s="305"/>
      <c r="TXA263" s="305"/>
      <c r="TXE263" s="305"/>
      <c r="TXI263" s="305"/>
      <c r="TXM263" s="305"/>
      <c r="TXQ263" s="305"/>
      <c r="TXU263" s="305"/>
      <c r="TXY263" s="305"/>
      <c r="TYC263" s="305"/>
      <c r="TYG263" s="305"/>
      <c r="TYK263" s="305"/>
      <c r="TYO263" s="305"/>
      <c r="TYS263" s="305"/>
      <c r="TYW263" s="305"/>
      <c r="TZA263" s="305"/>
      <c r="TZE263" s="305"/>
      <c r="TZI263" s="305"/>
      <c r="TZM263" s="305"/>
      <c r="TZQ263" s="305"/>
      <c r="TZU263" s="305"/>
      <c r="TZY263" s="305"/>
      <c r="UAC263" s="305"/>
      <c r="UAG263" s="305"/>
      <c r="UAK263" s="305"/>
      <c r="UAO263" s="305"/>
      <c r="UAS263" s="305"/>
      <c r="UAW263" s="305"/>
      <c r="UBA263" s="305"/>
      <c r="UBE263" s="305"/>
      <c r="UBI263" s="305"/>
      <c r="UBM263" s="305"/>
      <c r="UBQ263" s="305"/>
      <c r="UBU263" s="305"/>
      <c r="UBY263" s="305"/>
      <c r="UCC263" s="305"/>
      <c r="UCG263" s="305"/>
      <c r="UCK263" s="305"/>
      <c r="UCO263" s="305"/>
      <c r="UCS263" s="305"/>
      <c r="UCW263" s="305"/>
      <c r="UDA263" s="305"/>
      <c r="UDE263" s="305"/>
      <c r="UDI263" s="305"/>
      <c r="UDM263" s="305"/>
      <c r="UDQ263" s="305"/>
      <c r="UDU263" s="305"/>
      <c r="UDY263" s="305"/>
      <c r="UEC263" s="305"/>
      <c r="UEG263" s="305"/>
      <c r="UEK263" s="305"/>
      <c r="UEO263" s="305"/>
      <c r="UES263" s="305"/>
      <c r="UEW263" s="305"/>
      <c r="UFA263" s="305"/>
      <c r="UFE263" s="305"/>
      <c r="UFI263" s="305"/>
      <c r="UFM263" s="305"/>
      <c r="UFQ263" s="305"/>
      <c r="UFU263" s="305"/>
      <c r="UFY263" s="305"/>
      <c r="UGC263" s="305"/>
      <c r="UGG263" s="305"/>
      <c r="UGK263" s="305"/>
      <c r="UGO263" s="305"/>
      <c r="UGS263" s="305"/>
      <c r="UGW263" s="305"/>
      <c r="UHA263" s="305"/>
      <c r="UHE263" s="305"/>
      <c r="UHI263" s="305"/>
      <c r="UHM263" s="305"/>
      <c r="UHQ263" s="305"/>
      <c r="UHU263" s="305"/>
      <c r="UHY263" s="305"/>
      <c r="UIC263" s="305"/>
      <c r="UIG263" s="305"/>
      <c r="UIK263" s="305"/>
      <c r="UIO263" s="305"/>
      <c r="UIS263" s="305"/>
      <c r="UIW263" s="305"/>
      <c r="UJA263" s="305"/>
      <c r="UJE263" s="305"/>
      <c r="UJI263" s="305"/>
      <c r="UJM263" s="305"/>
      <c r="UJQ263" s="305"/>
      <c r="UJU263" s="305"/>
      <c r="UJY263" s="305"/>
      <c r="UKC263" s="305"/>
      <c r="UKG263" s="305"/>
      <c r="UKK263" s="305"/>
      <c r="UKO263" s="305"/>
      <c r="UKS263" s="305"/>
      <c r="UKW263" s="305"/>
      <c r="ULA263" s="305"/>
      <c r="ULE263" s="305"/>
      <c r="ULI263" s="305"/>
      <c r="ULM263" s="305"/>
      <c r="ULQ263" s="305"/>
      <c r="ULU263" s="305"/>
      <c r="ULY263" s="305"/>
      <c r="UMC263" s="305"/>
      <c r="UMG263" s="305"/>
      <c r="UMK263" s="305"/>
      <c r="UMO263" s="305"/>
      <c r="UMS263" s="305"/>
      <c r="UMW263" s="305"/>
      <c r="UNA263" s="305"/>
      <c r="UNE263" s="305"/>
      <c r="UNI263" s="305"/>
      <c r="UNM263" s="305"/>
      <c r="UNQ263" s="305"/>
      <c r="UNU263" s="305"/>
      <c r="UNY263" s="305"/>
      <c r="UOC263" s="305"/>
      <c r="UOG263" s="305"/>
      <c r="UOK263" s="305"/>
      <c r="UOO263" s="305"/>
      <c r="UOS263" s="305"/>
      <c r="UOW263" s="305"/>
      <c r="UPA263" s="305"/>
      <c r="UPE263" s="305"/>
      <c r="UPI263" s="305"/>
      <c r="UPM263" s="305"/>
      <c r="UPQ263" s="305"/>
      <c r="UPU263" s="305"/>
      <c r="UPY263" s="305"/>
      <c r="UQC263" s="305"/>
      <c r="UQG263" s="305"/>
      <c r="UQK263" s="305"/>
      <c r="UQO263" s="305"/>
      <c r="UQS263" s="305"/>
      <c r="UQW263" s="305"/>
      <c r="URA263" s="305"/>
      <c r="URE263" s="305"/>
      <c r="URI263" s="305"/>
      <c r="URM263" s="305"/>
      <c r="URQ263" s="305"/>
      <c r="URU263" s="305"/>
      <c r="URY263" s="305"/>
      <c r="USC263" s="305"/>
      <c r="USG263" s="305"/>
      <c r="USK263" s="305"/>
      <c r="USO263" s="305"/>
      <c r="USS263" s="305"/>
      <c r="USW263" s="305"/>
      <c r="UTA263" s="305"/>
      <c r="UTE263" s="305"/>
      <c r="UTI263" s="305"/>
      <c r="UTM263" s="305"/>
      <c r="UTQ263" s="305"/>
      <c r="UTU263" s="305"/>
      <c r="UTY263" s="305"/>
      <c r="UUC263" s="305"/>
      <c r="UUG263" s="305"/>
      <c r="UUK263" s="305"/>
      <c r="UUO263" s="305"/>
      <c r="UUS263" s="305"/>
      <c r="UUW263" s="305"/>
      <c r="UVA263" s="305"/>
      <c r="UVE263" s="305"/>
      <c r="UVI263" s="305"/>
      <c r="UVM263" s="305"/>
      <c r="UVQ263" s="305"/>
      <c r="UVU263" s="305"/>
      <c r="UVY263" s="305"/>
      <c r="UWC263" s="305"/>
      <c r="UWG263" s="305"/>
      <c r="UWK263" s="305"/>
      <c r="UWO263" s="305"/>
      <c r="UWS263" s="305"/>
      <c r="UWW263" s="305"/>
      <c r="UXA263" s="305"/>
      <c r="UXE263" s="305"/>
      <c r="UXI263" s="305"/>
      <c r="UXM263" s="305"/>
      <c r="UXQ263" s="305"/>
      <c r="UXU263" s="305"/>
      <c r="UXY263" s="305"/>
      <c r="UYC263" s="305"/>
      <c r="UYG263" s="305"/>
      <c r="UYK263" s="305"/>
      <c r="UYO263" s="305"/>
      <c r="UYS263" s="305"/>
      <c r="UYW263" s="305"/>
      <c r="UZA263" s="305"/>
      <c r="UZE263" s="305"/>
      <c r="UZI263" s="305"/>
      <c r="UZM263" s="305"/>
      <c r="UZQ263" s="305"/>
      <c r="UZU263" s="305"/>
      <c r="UZY263" s="305"/>
      <c r="VAC263" s="305"/>
      <c r="VAG263" s="305"/>
      <c r="VAK263" s="305"/>
      <c r="VAO263" s="305"/>
      <c r="VAS263" s="305"/>
      <c r="VAW263" s="305"/>
      <c r="VBA263" s="305"/>
      <c r="VBE263" s="305"/>
      <c r="VBI263" s="305"/>
      <c r="VBM263" s="305"/>
      <c r="VBQ263" s="305"/>
      <c r="VBU263" s="305"/>
      <c r="VBY263" s="305"/>
      <c r="VCC263" s="305"/>
      <c r="VCG263" s="305"/>
      <c r="VCK263" s="305"/>
      <c r="VCO263" s="305"/>
      <c r="VCS263" s="305"/>
      <c r="VCW263" s="305"/>
      <c r="VDA263" s="305"/>
      <c r="VDE263" s="305"/>
      <c r="VDI263" s="305"/>
      <c r="VDM263" s="305"/>
      <c r="VDQ263" s="305"/>
      <c r="VDU263" s="305"/>
      <c r="VDY263" s="305"/>
      <c r="VEC263" s="305"/>
      <c r="VEG263" s="305"/>
      <c r="VEK263" s="305"/>
      <c r="VEO263" s="305"/>
      <c r="VES263" s="305"/>
      <c r="VEW263" s="305"/>
      <c r="VFA263" s="305"/>
      <c r="VFE263" s="305"/>
      <c r="VFI263" s="305"/>
      <c r="VFM263" s="305"/>
      <c r="VFQ263" s="305"/>
      <c r="VFU263" s="305"/>
      <c r="VFY263" s="305"/>
      <c r="VGC263" s="305"/>
      <c r="VGG263" s="305"/>
      <c r="VGK263" s="305"/>
      <c r="VGO263" s="305"/>
      <c r="VGS263" s="305"/>
      <c r="VGW263" s="305"/>
      <c r="VHA263" s="305"/>
      <c r="VHE263" s="305"/>
      <c r="VHI263" s="305"/>
      <c r="VHM263" s="305"/>
      <c r="VHQ263" s="305"/>
      <c r="VHU263" s="305"/>
      <c r="VHY263" s="305"/>
      <c r="VIC263" s="305"/>
      <c r="VIG263" s="305"/>
      <c r="VIK263" s="305"/>
      <c r="VIO263" s="305"/>
      <c r="VIS263" s="305"/>
      <c r="VIW263" s="305"/>
      <c r="VJA263" s="305"/>
      <c r="VJE263" s="305"/>
      <c r="VJI263" s="305"/>
      <c r="VJM263" s="305"/>
      <c r="VJQ263" s="305"/>
      <c r="VJU263" s="305"/>
      <c r="VJY263" s="305"/>
      <c r="VKC263" s="305"/>
      <c r="VKG263" s="305"/>
      <c r="VKK263" s="305"/>
      <c r="VKO263" s="305"/>
      <c r="VKS263" s="305"/>
      <c r="VKW263" s="305"/>
      <c r="VLA263" s="305"/>
      <c r="VLE263" s="305"/>
      <c r="VLI263" s="305"/>
      <c r="VLM263" s="305"/>
      <c r="VLQ263" s="305"/>
      <c r="VLU263" s="305"/>
      <c r="VLY263" s="305"/>
      <c r="VMC263" s="305"/>
      <c r="VMG263" s="305"/>
      <c r="VMK263" s="305"/>
      <c r="VMO263" s="305"/>
      <c r="VMS263" s="305"/>
      <c r="VMW263" s="305"/>
      <c r="VNA263" s="305"/>
      <c r="VNE263" s="305"/>
      <c r="VNI263" s="305"/>
      <c r="VNM263" s="305"/>
      <c r="VNQ263" s="305"/>
      <c r="VNU263" s="305"/>
      <c r="VNY263" s="305"/>
      <c r="VOC263" s="305"/>
      <c r="VOG263" s="305"/>
      <c r="VOK263" s="305"/>
      <c r="VOO263" s="305"/>
      <c r="VOS263" s="305"/>
      <c r="VOW263" s="305"/>
      <c r="VPA263" s="305"/>
      <c r="VPE263" s="305"/>
      <c r="VPI263" s="305"/>
      <c r="VPM263" s="305"/>
      <c r="VPQ263" s="305"/>
      <c r="VPU263" s="305"/>
      <c r="VPY263" s="305"/>
      <c r="VQC263" s="305"/>
      <c r="VQG263" s="305"/>
      <c r="VQK263" s="305"/>
      <c r="VQO263" s="305"/>
      <c r="VQS263" s="305"/>
      <c r="VQW263" s="305"/>
      <c r="VRA263" s="305"/>
      <c r="VRE263" s="305"/>
      <c r="VRI263" s="305"/>
      <c r="VRM263" s="305"/>
      <c r="VRQ263" s="305"/>
      <c r="VRU263" s="305"/>
      <c r="VRY263" s="305"/>
      <c r="VSC263" s="305"/>
      <c r="VSG263" s="305"/>
      <c r="VSK263" s="305"/>
      <c r="VSO263" s="305"/>
      <c r="VSS263" s="305"/>
      <c r="VSW263" s="305"/>
      <c r="VTA263" s="305"/>
      <c r="VTE263" s="305"/>
      <c r="VTI263" s="305"/>
      <c r="VTM263" s="305"/>
      <c r="VTQ263" s="305"/>
      <c r="VTU263" s="305"/>
      <c r="VTY263" s="305"/>
      <c r="VUC263" s="305"/>
      <c r="VUG263" s="305"/>
      <c r="VUK263" s="305"/>
      <c r="VUO263" s="305"/>
      <c r="VUS263" s="305"/>
      <c r="VUW263" s="305"/>
      <c r="VVA263" s="305"/>
      <c r="VVE263" s="305"/>
      <c r="VVI263" s="305"/>
      <c r="VVM263" s="305"/>
      <c r="VVQ263" s="305"/>
      <c r="VVU263" s="305"/>
      <c r="VVY263" s="305"/>
      <c r="VWC263" s="305"/>
      <c r="VWG263" s="305"/>
      <c r="VWK263" s="305"/>
      <c r="VWO263" s="305"/>
      <c r="VWS263" s="305"/>
      <c r="VWW263" s="305"/>
      <c r="VXA263" s="305"/>
      <c r="VXE263" s="305"/>
      <c r="VXI263" s="305"/>
      <c r="VXM263" s="305"/>
      <c r="VXQ263" s="305"/>
      <c r="VXU263" s="305"/>
      <c r="VXY263" s="305"/>
      <c r="VYC263" s="305"/>
      <c r="VYG263" s="305"/>
      <c r="VYK263" s="305"/>
      <c r="VYO263" s="305"/>
      <c r="VYS263" s="305"/>
      <c r="VYW263" s="305"/>
      <c r="VZA263" s="305"/>
      <c r="VZE263" s="305"/>
      <c r="VZI263" s="305"/>
      <c r="VZM263" s="305"/>
      <c r="VZQ263" s="305"/>
      <c r="VZU263" s="305"/>
      <c r="VZY263" s="305"/>
      <c r="WAC263" s="305"/>
      <c r="WAG263" s="305"/>
      <c r="WAK263" s="305"/>
      <c r="WAO263" s="305"/>
      <c r="WAS263" s="305"/>
      <c r="WAW263" s="305"/>
      <c r="WBA263" s="305"/>
      <c r="WBE263" s="305"/>
      <c r="WBI263" s="305"/>
      <c r="WBM263" s="305"/>
      <c r="WBQ263" s="305"/>
      <c r="WBU263" s="305"/>
      <c r="WBY263" s="305"/>
      <c r="WCC263" s="305"/>
      <c r="WCG263" s="305"/>
      <c r="WCK263" s="305"/>
      <c r="WCO263" s="305"/>
      <c r="WCS263" s="305"/>
      <c r="WCW263" s="305"/>
      <c r="WDA263" s="305"/>
      <c r="WDE263" s="305"/>
      <c r="WDI263" s="305"/>
      <c r="WDM263" s="305"/>
      <c r="WDQ263" s="305"/>
      <c r="WDU263" s="305"/>
      <c r="WDY263" s="305"/>
      <c r="WEC263" s="305"/>
      <c r="WEG263" s="305"/>
      <c r="WEK263" s="305"/>
      <c r="WEO263" s="305"/>
      <c r="WES263" s="305"/>
      <c r="WEW263" s="305"/>
      <c r="WFA263" s="305"/>
      <c r="WFE263" s="305"/>
      <c r="WFI263" s="305"/>
      <c r="WFM263" s="305"/>
      <c r="WFQ263" s="305"/>
      <c r="WFU263" s="305"/>
      <c r="WFY263" s="305"/>
      <c r="WGC263" s="305"/>
      <c r="WGG263" s="305"/>
      <c r="WGK263" s="305"/>
      <c r="WGO263" s="305"/>
      <c r="WGS263" s="305"/>
      <c r="WGW263" s="305"/>
      <c r="WHA263" s="305"/>
      <c r="WHE263" s="305"/>
      <c r="WHI263" s="305"/>
      <c r="WHM263" s="305"/>
      <c r="WHQ263" s="305"/>
      <c r="WHU263" s="305"/>
      <c r="WHY263" s="305"/>
      <c r="WIC263" s="305"/>
      <c r="WIG263" s="305"/>
      <c r="WIK263" s="305"/>
      <c r="WIO263" s="305"/>
      <c r="WIS263" s="305"/>
      <c r="WIW263" s="305"/>
      <c r="WJA263" s="305"/>
      <c r="WJE263" s="305"/>
      <c r="WJI263" s="305"/>
      <c r="WJM263" s="305"/>
      <c r="WJQ263" s="305"/>
      <c r="WJU263" s="305"/>
      <c r="WJY263" s="305"/>
      <c r="WKC263" s="305"/>
      <c r="WKG263" s="305"/>
      <c r="WKK263" s="305"/>
      <c r="WKO263" s="305"/>
      <c r="WKS263" s="305"/>
      <c r="WKW263" s="305"/>
      <c r="WLA263" s="305"/>
      <c r="WLE263" s="305"/>
      <c r="WLI263" s="305"/>
      <c r="WLM263" s="305"/>
      <c r="WLQ263" s="305"/>
      <c r="WLU263" s="305"/>
      <c r="WLY263" s="305"/>
      <c r="WMC263" s="305"/>
      <c r="WMG263" s="305"/>
      <c r="WMK263" s="305"/>
      <c r="WMO263" s="305"/>
      <c r="WMS263" s="305"/>
      <c r="WMW263" s="305"/>
      <c r="WNA263" s="305"/>
      <c r="WNE263" s="305"/>
      <c r="WNI263" s="305"/>
      <c r="WNM263" s="305"/>
      <c r="WNQ263" s="305"/>
      <c r="WNU263" s="305"/>
      <c r="WNY263" s="305"/>
      <c r="WOC263" s="305"/>
      <c r="WOG263" s="305"/>
      <c r="WOK263" s="305"/>
      <c r="WOO263" s="305"/>
      <c r="WOS263" s="305"/>
      <c r="WOW263" s="305"/>
      <c r="WPA263" s="305"/>
      <c r="WPE263" s="305"/>
      <c r="WPI263" s="305"/>
      <c r="WPM263" s="305"/>
      <c r="WPQ263" s="305"/>
      <c r="WPU263" s="305"/>
      <c r="WPY263" s="305"/>
      <c r="WQC263" s="305"/>
      <c r="WQG263" s="305"/>
      <c r="WQK263" s="305"/>
      <c r="WQO263" s="305"/>
      <c r="WQS263" s="305"/>
      <c r="WQW263" s="305"/>
      <c r="WRA263" s="305"/>
      <c r="WRE263" s="305"/>
      <c r="WRI263" s="305"/>
      <c r="WRM263" s="305"/>
      <c r="WRQ263" s="305"/>
      <c r="WRU263" s="305"/>
      <c r="WRY263" s="305"/>
      <c r="WSC263" s="305"/>
      <c r="WSG263" s="305"/>
      <c r="WSK263" s="305"/>
      <c r="WSO263" s="305"/>
      <c r="WSS263" s="305"/>
      <c r="WSW263" s="305"/>
      <c r="WTA263" s="305"/>
      <c r="WTE263" s="305"/>
      <c r="WTI263" s="305"/>
      <c r="WTM263" s="305"/>
      <c r="WTQ263" s="305"/>
      <c r="WTU263" s="305"/>
      <c r="WTY263" s="305"/>
      <c r="WUC263" s="305"/>
      <c r="WUG263" s="305"/>
      <c r="WUK263" s="305"/>
      <c r="WUO263" s="305"/>
      <c r="WUS263" s="305"/>
      <c r="WUW263" s="305"/>
      <c r="WVA263" s="305"/>
      <c r="WVE263" s="305"/>
      <c r="WVI263" s="305"/>
      <c r="WVM263" s="305"/>
      <c r="WVQ263" s="305"/>
      <c r="WVU263" s="305"/>
      <c r="WVY263" s="305"/>
      <c r="WWC263" s="305"/>
      <c r="WWG263" s="305"/>
      <c r="WWK263" s="305"/>
      <c r="WWO263" s="305"/>
      <c r="WWS263" s="305"/>
      <c r="WWW263" s="305"/>
      <c r="WXA263" s="305"/>
      <c r="WXE263" s="305"/>
      <c r="WXI263" s="305"/>
      <c r="WXM263" s="305"/>
      <c r="WXQ263" s="305"/>
      <c r="WXU263" s="305"/>
      <c r="WXY263" s="305"/>
      <c r="WYC263" s="305"/>
      <c r="WYG263" s="305"/>
      <c r="WYK263" s="305"/>
      <c r="WYO263" s="305"/>
      <c r="WYS263" s="305"/>
      <c r="WYW263" s="305"/>
      <c r="WZA263" s="305"/>
      <c r="WZE263" s="305"/>
      <c r="WZI263" s="305"/>
      <c r="WZM263" s="305"/>
      <c r="WZQ263" s="305"/>
      <c r="WZU263" s="305"/>
      <c r="WZY263" s="305"/>
      <c r="XAC263" s="305"/>
      <c r="XAG263" s="305"/>
      <c r="XAK263" s="305"/>
      <c r="XAO263" s="305"/>
      <c r="XAS263" s="305"/>
      <c r="XAW263" s="305"/>
      <c r="XBA263" s="305"/>
      <c r="XBE263" s="305"/>
      <c r="XBI263" s="305"/>
      <c r="XBM263" s="305"/>
      <c r="XBQ263" s="305"/>
      <c r="XBU263" s="305"/>
      <c r="XBY263" s="305"/>
      <c r="XCC263" s="305"/>
      <c r="XCG263" s="305"/>
      <c r="XCK263" s="305"/>
      <c r="XCO263" s="305"/>
      <c r="XCS263" s="305"/>
      <c r="XCW263" s="305"/>
      <c r="XDA263" s="305"/>
      <c r="XDE263" s="305"/>
      <c r="XDI263" s="305"/>
      <c r="XDM263" s="305"/>
      <c r="XDQ263" s="305"/>
      <c r="XDU263" s="305"/>
      <c r="XDY263" s="305"/>
      <c r="XEC263" s="305"/>
      <c r="XEG263" s="305"/>
      <c r="XEK263" s="305"/>
      <c r="XEO263" s="305"/>
      <c r="XES263" s="305"/>
      <c r="XEW263" s="305"/>
      <c r="XFA263" s="305"/>
    </row>
    <row r="264" spans="1:1021 1025:2045 2049:3069 3073:4093 4097:5117 5121:6141 6145:7165 7169:8189 8193:9213 9217:10237 10241:11261 11265:12285 12289:13309 13313:14333 14337:15357 15361:16381" s="330" customFormat="1">
      <c r="A264" s="282" t="s">
        <v>857</v>
      </c>
      <c r="B264" s="679">
        <f>-Data!E66</f>
        <v>6382.3</v>
      </c>
      <c r="C264" s="679">
        <f>-Data!F66</f>
        <v>6858.8</v>
      </c>
      <c r="D264" s="679">
        <f>-Data!G66</f>
        <v>7787.5</v>
      </c>
      <c r="E264" s="680">
        <f>E267+E274</f>
        <v>8653.4939004379103</v>
      </c>
      <c r="F264" s="680">
        <f t="shared" ref="F264:I264" si="103">F267+F274</f>
        <v>9390.3550517700187</v>
      </c>
      <c r="G264" s="680">
        <f t="shared" si="103"/>
        <v>10336.688038348537</v>
      </c>
      <c r="H264" s="680">
        <f t="shared" si="103"/>
        <v>11358.676072468095</v>
      </c>
      <c r="I264" s="680">
        <f t="shared" si="103"/>
        <v>12461.948291653714</v>
      </c>
      <c r="M264" s="305"/>
      <c r="Q264" s="305"/>
      <c r="U264" s="305"/>
      <c r="Y264" s="305"/>
      <c r="AC264" s="305"/>
      <c r="AG264" s="305"/>
      <c r="AK264" s="305"/>
      <c r="AO264" s="305"/>
      <c r="AS264" s="305"/>
      <c r="AW264" s="305"/>
      <c r="BA264" s="305"/>
      <c r="BE264" s="305"/>
      <c r="BI264" s="305"/>
      <c r="BM264" s="305"/>
      <c r="BQ264" s="305"/>
      <c r="BU264" s="305"/>
      <c r="BY264" s="305"/>
      <c r="CC264" s="305"/>
      <c r="CG264" s="305"/>
      <c r="CK264" s="305"/>
      <c r="CO264" s="305"/>
      <c r="CS264" s="305"/>
      <c r="CW264" s="305"/>
      <c r="DA264" s="305"/>
      <c r="DE264" s="305"/>
      <c r="DI264" s="305"/>
      <c r="DM264" s="305"/>
      <c r="DQ264" s="305"/>
      <c r="DU264" s="305"/>
      <c r="DY264" s="305"/>
      <c r="EC264" s="305"/>
      <c r="EG264" s="305"/>
      <c r="EK264" s="305"/>
      <c r="EO264" s="305"/>
      <c r="ES264" s="305"/>
      <c r="EW264" s="305"/>
      <c r="FA264" s="305"/>
      <c r="FE264" s="305"/>
      <c r="FI264" s="305"/>
      <c r="FM264" s="305"/>
      <c r="FQ264" s="305"/>
      <c r="FU264" s="305"/>
      <c r="FY264" s="305"/>
      <c r="GC264" s="305"/>
      <c r="GG264" s="305"/>
      <c r="GK264" s="305"/>
      <c r="GO264" s="305"/>
      <c r="GS264" s="305"/>
      <c r="GW264" s="305"/>
      <c r="HA264" s="305"/>
      <c r="HE264" s="305"/>
      <c r="HI264" s="305"/>
      <c r="HM264" s="305"/>
      <c r="HQ264" s="305"/>
      <c r="HU264" s="305"/>
      <c r="HY264" s="305"/>
      <c r="IC264" s="305"/>
      <c r="IG264" s="305"/>
      <c r="IK264" s="305"/>
      <c r="IO264" s="305"/>
      <c r="IS264" s="305"/>
      <c r="IW264" s="305"/>
      <c r="JA264" s="305"/>
      <c r="JE264" s="305"/>
      <c r="JI264" s="305"/>
      <c r="JM264" s="305"/>
      <c r="JQ264" s="305"/>
      <c r="JU264" s="305"/>
      <c r="JY264" s="305"/>
      <c r="KC264" s="305"/>
      <c r="KG264" s="305"/>
      <c r="KK264" s="305"/>
      <c r="KO264" s="305"/>
      <c r="KS264" s="305"/>
      <c r="KW264" s="305"/>
      <c r="LA264" s="305"/>
      <c r="LE264" s="305"/>
      <c r="LI264" s="305"/>
      <c r="LM264" s="305"/>
      <c r="LQ264" s="305"/>
      <c r="LU264" s="305"/>
      <c r="LY264" s="305"/>
      <c r="MC264" s="305"/>
      <c r="MG264" s="305"/>
      <c r="MK264" s="305"/>
      <c r="MO264" s="305"/>
      <c r="MS264" s="305"/>
      <c r="MW264" s="305"/>
      <c r="NA264" s="305"/>
      <c r="NE264" s="305"/>
      <c r="NI264" s="305"/>
      <c r="NM264" s="305"/>
      <c r="NQ264" s="305"/>
      <c r="NU264" s="305"/>
      <c r="NY264" s="305"/>
      <c r="OC264" s="305"/>
      <c r="OG264" s="305"/>
      <c r="OK264" s="305"/>
      <c r="OO264" s="305"/>
      <c r="OS264" s="305"/>
      <c r="OW264" s="305"/>
      <c r="PA264" s="305"/>
      <c r="PE264" s="305"/>
      <c r="PI264" s="305"/>
      <c r="PM264" s="305"/>
      <c r="PQ264" s="305"/>
      <c r="PU264" s="305"/>
      <c r="PY264" s="305"/>
      <c r="QC264" s="305"/>
      <c r="QG264" s="305"/>
      <c r="QK264" s="305"/>
      <c r="QO264" s="305"/>
      <c r="QS264" s="305"/>
      <c r="QW264" s="305"/>
      <c r="RA264" s="305"/>
      <c r="RE264" s="305"/>
      <c r="RI264" s="305"/>
      <c r="RM264" s="305"/>
      <c r="RQ264" s="305"/>
      <c r="RU264" s="305"/>
      <c r="RY264" s="305"/>
      <c r="SC264" s="305"/>
      <c r="SG264" s="305"/>
      <c r="SK264" s="305"/>
      <c r="SO264" s="305"/>
      <c r="SS264" s="305"/>
      <c r="SW264" s="305"/>
      <c r="TA264" s="305"/>
      <c r="TE264" s="305"/>
      <c r="TI264" s="305"/>
      <c r="TM264" s="305"/>
      <c r="TQ264" s="305"/>
      <c r="TU264" s="305"/>
      <c r="TY264" s="305"/>
      <c r="UC264" s="305"/>
      <c r="UG264" s="305"/>
      <c r="UK264" s="305"/>
      <c r="UO264" s="305"/>
      <c r="US264" s="305"/>
      <c r="UW264" s="305"/>
      <c r="VA264" s="305"/>
      <c r="VE264" s="305"/>
      <c r="VI264" s="305"/>
      <c r="VM264" s="305"/>
      <c r="VQ264" s="305"/>
      <c r="VU264" s="305"/>
      <c r="VY264" s="305"/>
      <c r="WC264" s="305"/>
      <c r="WG264" s="305"/>
      <c r="WK264" s="305"/>
      <c r="WO264" s="305"/>
      <c r="WS264" s="305"/>
      <c r="WW264" s="305"/>
      <c r="XA264" s="305"/>
      <c r="XE264" s="305"/>
      <c r="XI264" s="305"/>
      <c r="XM264" s="305"/>
      <c r="XQ264" s="305"/>
      <c r="XU264" s="305"/>
      <c r="XY264" s="305"/>
      <c r="YC264" s="305"/>
      <c r="YG264" s="305"/>
      <c r="YK264" s="305"/>
      <c r="YO264" s="305"/>
      <c r="YS264" s="305"/>
      <c r="YW264" s="305"/>
      <c r="ZA264" s="305"/>
      <c r="ZE264" s="305"/>
      <c r="ZI264" s="305"/>
      <c r="ZM264" s="305"/>
      <c r="ZQ264" s="305"/>
      <c r="ZU264" s="305"/>
      <c r="ZY264" s="305"/>
      <c r="AAC264" s="305"/>
      <c r="AAG264" s="305"/>
      <c r="AAK264" s="305"/>
      <c r="AAO264" s="305"/>
      <c r="AAS264" s="305"/>
      <c r="AAW264" s="305"/>
      <c r="ABA264" s="305"/>
      <c r="ABE264" s="305"/>
      <c r="ABI264" s="305"/>
      <c r="ABM264" s="305"/>
      <c r="ABQ264" s="305"/>
      <c r="ABU264" s="305"/>
      <c r="ABY264" s="305"/>
      <c r="ACC264" s="305"/>
      <c r="ACG264" s="305"/>
      <c r="ACK264" s="305"/>
      <c r="ACO264" s="305"/>
      <c r="ACS264" s="305"/>
      <c r="ACW264" s="305"/>
      <c r="ADA264" s="305"/>
      <c r="ADE264" s="305"/>
      <c r="ADI264" s="305"/>
      <c r="ADM264" s="305"/>
      <c r="ADQ264" s="305"/>
      <c r="ADU264" s="305"/>
      <c r="ADY264" s="305"/>
      <c r="AEC264" s="305"/>
      <c r="AEG264" s="305"/>
      <c r="AEK264" s="305"/>
      <c r="AEO264" s="305"/>
      <c r="AES264" s="305"/>
      <c r="AEW264" s="305"/>
      <c r="AFA264" s="305"/>
      <c r="AFE264" s="305"/>
      <c r="AFI264" s="305"/>
      <c r="AFM264" s="305"/>
      <c r="AFQ264" s="305"/>
      <c r="AFU264" s="305"/>
      <c r="AFY264" s="305"/>
      <c r="AGC264" s="305"/>
      <c r="AGG264" s="305"/>
      <c r="AGK264" s="305"/>
      <c r="AGO264" s="305"/>
      <c r="AGS264" s="305"/>
      <c r="AGW264" s="305"/>
      <c r="AHA264" s="305"/>
      <c r="AHE264" s="305"/>
      <c r="AHI264" s="305"/>
      <c r="AHM264" s="305"/>
      <c r="AHQ264" s="305"/>
      <c r="AHU264" s="305"/>
      <c r="AHY264" s="305"/>
      <c r="AIC264" s="305"/>
      <c r="AIG264" s="305"/>
      <c r="AIK264" s="305"/>
      <c r="AIO264" s="305"/>
      <c r="AIS264" s="305"/>
      <c r="AIW264" s="305"/>
      <c r="AJA264" s="305"/>
      <c r="AJE264" s="305"/>
      <c r="AJI264" s="305"/>
      <c r="AJM264" s="305"/>
      <c r="AJQ264" s="305"/>
      <c r="AJU264" s="305"/>
      <c r="AJY264" s="305"/>
      <c r="AKC264" s="305"/>
      <c r="AKG264" s="305"/>
      <c r="AKK264" s="305"/>
      <c r="AKO264" s="305"/>
      <c r="AKS264" s="305"/>
      <c r="AKW264" s="305"/>
      <c r="ALA264" s="305"/>
      <c r="ALE264" s="305"/>
      <c r="ALI264" s="305"/>
      <c r="ALM264" s="305"/>
      <c r="ALQ264" s="305"/>
      <c r="ALU264" s="305"/>
      <c r="ALY264" s="305"/>
      <c r="AMC264" s="305"/>
      <c r="AMG264" s="305"/>
      <c r="AMK264" s="305"/>
      <c r="AMO264" s="305"/>
      <c r="AMS264" s="305"/>
      <c r="AMW264" s="305"/>
      <c r="ANA264" s="305"/>
      <c r="ANE264" s="305"/>
      <c r="ANI264" s="305"/>
      <c r="ANM264" s="305"/>
      <c r="ANQ264" s="305"/>
      <c r="ANU264" s="305"/>
      <c r="ANY264" s="305"/>
      <c r="AOC264" s="305"/>
      <c r="AOG264" s="305"/>
      <c r="AOK264" s="305"/>
      <c r="AOO264" s="305"/>
      <c r="AOS264" s="305"/>
      <c r="AOW264" s="305"/>
      <c r="APA264" s="305"/>
      <c r="APE264" s="305"/>
      <c r="API264" s="305"/>
      <c r="APM264" s="305"/>
      <c r="APQ264" s="305"/>
      <c r="APU264" s="305"/>
      <c r="APY264" s="305"/>
      <c r="AQC264" s="305"/>
      <c r="AQG264" s="305"/>
      <c r="AQK264" s="305"/>
      <c r="AQO264" s="305"/>
      <c r="AQS264" s="305"/>
      <c r="AQW264" s="305"/>
      <c r="ARA264" s="305"/>
      <c r="ARE264" s="305"/>
      <c r="ARI264" s="305"/>
      <c r="ARM264" s="305"/>
      <c r="ARQ264" s="305"/>
      <c r="ARU264" s="305"/>
      <c r="ARY264" s="305"/>
      <c r="ASC264" s="305"/>
      <c r="ASG264" s="305"/>
      <c r="ASK264" s="305"/>
      <c r="ASO264" s="305"/>
      <c r="ASS264" s="305"/>
      <c r="ASW264" s="305"/>
      <c r="ATA264" s="305"/>
      <c r="ATE264" s="305"/>
      <c r="ATI264" s="305"/>
      <c r="ATM264" s="305"/>
      <c r="ATQ264" s="305"/>
      <c r="ATU264" s="305"/>
      <c r="ATY264" s="305"/>
      <c r="AUC264" s="305"/>
      <c r="AUG264" s="305"/>
      <c r="AUK264" s="305"/>
      <c r="AUO264" s="305"/>
      <c r="AUS264" s="305"/>
      <c r="AUW264" s="305"/>
      <c r="AVA264" s="305"/>
      <c r="AVE264" s="305"/>
      <c r="AVI264" s="305"/>
      <c r="AVM264" s="305"/>
      <c r="AVQ264" s="305"/>
      <c r="AVU264" s="305"/>
      <c r="AVY264" s="305"/>
      <c r="AWC264" s="305"/>
      <c r="AWG264" s="305"/>
      <c r="AWK264" s="305"/>
      <c r="AWO264" s="305"/>
      <c r="AWS264" s="305"/>
      <c r="AWW264" s="305"/>
      <c r="AXA264" s="305"/>
      <c r="AXE264" s="305"/>
      <c r="AXI264" s="305"/>
      <c r="AXM264" s="305"/>
      <c r="AXQ264" s="305"/>
      <c r="AXU264" s="305"/>
      <c r="AXY264" s="305"/>
      <c r="AYC264" s="305"/>
      <c r="AYG264" s="305"/>
      <c r="AYK264" s="305"/>
      <c r="AYO264" s="305"/>
      <c r="AYS264" s="305"/>
      <c r="AYW264" s="305"/>
      <c r="AZA264" s="305"/>
      <c r="AZE264" s="305"/>
      <c r="AZI264" s="305"/>
      <c r="AZM264" s="305"/>
      <c r="AZQ264" s="305"/>
      <c r="AZU264" s="305"/>
      <c r="AZY264" s="305"/>
      <c r="BAC264" s="305"/>
      <c r="BAG264" s="305"/>
      <c r="BAK264" s="305"/>
      <c r="BAO264" s="305"/>
      <c r="BAS264" s="305"/>
      <c r="BAW264" s="305"/>
      <c r="BBA264" s="305"/>
      <c r="BBE264" s="305"/>
      <c r="BBI264" s="305"/>
      <c r="BBM264" s="305"/>
      <c r="BBQ264" s="305"/>
      <c r="BBU264" s="305"/>
      <c r="BBY264" s="305"/>
      <c r="BCC264" s="305"/>
      <c r="BCG264" s="305"/>
      <c r="BCK264" s="305"/>
      <c r="BCO264" s="305"/>
      <c r="BCS264" s="305"/>
      <c r="BCW264" s="305"/>
      <c r="BDA264" s="305"/>
      <c r="BDE264" s="305"/>
      <c r="BDI264" s="305"/>
      <c r="BDM264" s="305"/>
      <c r="BDQ264" s="305"/>
      <c r="BDU264" s="305"/>
      <c r="BDY264" s="305"/>
      <c r="BEC264" s="305"/>
      <c r="BEG264" s="305"/>
      <c r="BEK264" s="305"/>
      <c r="BEO264" s="305"/>
      <c r="BES264" s="305"/>
      <c r="BEW264" s="305"/>
      <c r="BFA264" s="305"/>
      <c r="BFE264" s="305"/>
      <c r="BFI264" s="305"/>
      <c r="BFM264" s="305"/>
      <c r="BFQ264" s="305"/>
      <c r="BFU264" s="305"/>
      <c r="BFY264" s="305"/>
      <c r="BGC264" s="305"/>
      <c r="BGG264" s="305"/>
      <c r="BGK264" s="305"/>
      <c r="BGO264" s="305"/>
      <c r="BGS264" s="305"/>
      <c r="BGW264" s="305"/>
      <c r="BHA264" s="305"/>
      <c r="BHE264" s="305"/>
      <c r="BHI264" s="305"/>
      <c r="BHM264" s="305"/>
      <c r="BHQ264" s="305"/>
      <c r="BHU264" s="305"/>
      <c r="BHY264" s="305"/>
      <c r="BIC264" s="305"/>
      <c r="BIG264" s="305"/>
      <c r="BIK264" s="305"/>
      <c r="BIO264" s="305"/>
      <c r="BIS264" s="305"/>
      <c r="BIW264" s="305"/>
      <c r="BJA264" s="305"/>
      <c r="BJE264" s="305"/>
      <c r="BJI264" s="305"/>
      <c r="BJM264" s="305"/>
      <c r="BJQ264" s="305"/>
      <c r="BJU264" s="305"/>
      <c r="BJY264" s="305"/>
      <c r="BKC264" s="305"/>
      <c r="BKG264" s="305"/>
      <c r="BKK264" s="305"/>
      <c r="BKO264" s="305"/>
      <c r="BKS264" s="305"/>
      <c r="BKW264" s="305"/>
      <c r="BLA264" s="305"/>
      <c r="BLE264" s="305"/>
      <c r="BLI264" s="305"/>
      <c r="BLM264" s="305"/>
      <c r="BLQ264" s="305"/>
      <c r="BLU264" s="305"/>
      <c r="BLY264" s="305"/>
      <c r="BMC264" s="305"/>
      <c r="BMG264" s="305"/>
      <c r="BMK264" s="305"/>
      <c r="BMO264" s="305"/>
      <c r="BMS264" s="305"/>
      <c r="BMW264" s="305"/>
      <c r="BNA264" s="305"/>
      <c r="BNE264" s="305"/>
      <c r="BNI264" s="305"/>
      <c r="BNM264" s="305"/>
      <c r="BNQ264" s="305"/>
      <c r="BNU264" s="305"/>
      <c r="BNY264" s="305"/>
      <c r="BOC264" s="305"/>
      <c r="BOG264" s="305"/>
      <c r="BOK264" s="305"/>
      <c r="BOO264" s="305"/>
      <c r="BOS264" s="305"/>
      <c r="BOW264" s="305"/>
      <c r="BPA264" s="305"/>
      <c r="BPE264" s="305"/>
      <c r="BPI264" s="305"/>
      <c r="BPM264" s="305"/>
      <c r="BPQ264" s="305"/>
      <c r="BPU264" s="305"/>
      <c r="BPY264" s="305"/>
      <c r="BQC264" s="305"/>
      <c r="BQG264" s="305"/>
      <c r="BQK264" s="305"/>
      <c r="BQO264" s="305"/>
      <c r="BQS264" s="305"/>
      <c r="BQW264" s="305"/>
      <c r="BRA264" s="305"/>
      <c r="BRE264" s="305"/>
      <c r="BRI264" s="305"/>
      <c r="BRM264" s="305"/>
      <c r="BRQ264" s="305"/>
      <c r="BRU264" s="305"/>
      <c r="BRY264" s="305"/>
      <c r="BSC264" s="305"/>
      <c r="BSG264" s="305"/>
      <c r="BSK264" s="305"/>
      <c r="BSO264" s="305"/>
      <c r="BSS264" s="305"/>
      <c r="BSW264" s="305"/>
      <c r="BTA264" s="305"/>
      <c r="BTE264" s="305"/>
      <c r="BTI264" s="305"/>
      <c r="BTM264" s="305"/>
      <c r="BTQ264" s="305"/>
      <c r="BTU264" s="305"/>
      <c r="BTY264" s="305"/>
      <c r="BUC264" s="305"/>
      <c r="BUG264" s="305"/>
      <c r="BUK264" s="305"/>
      <c r="BUO264" s="305"/>
      <c r="BUS264" s="305"/>
      <c r="BUW264" s="305"/>
      <c r="BVA264" s="305"/>
      <c r="BVE264" s="305"/>
      <c r="BVI264" s="305"/>
      <c r="BVM264" s="305"/>
      <c r="BVQ264" s="305"/>
      <c r="BVU264" s="305"/>
      <c r="BVY264" s="305"/>
      <c r="BWC264" s="305"/>
      <c r="BWG264" s="305"/>
      <c r="BWK264" s="305"/>
      <c r="BWO264" s="305"/>
      <c r="BWS264" s="305"/>
      <c r="BWW264" s="305"/>
      <c r="BXA264" s="305"/>
      <c r="BXE264" s="305"/>
      <c r="BXI264" s="305"/>
      <c r="BXM264" s="305"/>
      <c r="BXQ264" s="305"/>
      <c r="BXU264" s="305"/>
      <c r="BXY264" s="305"/>
      <c r="BYC264" s="305"/>
      <c r="BYG264" s="305"/>
      <c r="BYK264" s="305"/>
      <c r="BYO264" s="305"/>
      <c r="BYS264" s="305"/>
      <c r="BYW264" s="305"/>
      <c r="BZA264" s="305"/>
      <c r="BZE264" s="305"/>
      <c r="BZI264" s="305"/>
      <c r="BZM264" s="305"/>
      <c r="BZQ264" s="305"/>
      <c r="BZU264" s="305"/>
      <c r="BZY264" s="305"/>
      <c r="CAC264" s="305"/>
      <c r="CAG264" s="305"/>
      <c r="CAK264" s="305"/>
      <c r="CAO264" s="305"/>
      <c r="CAS264" s="305"/>
      <c r="CAW264" s="305"/>
      <c r="CBA264" s="305"/>
      <c r="CBE264" s="305"/>
      <c r="CBI264" s="305"/>
      <c r="CBM264" s="305"/>
      <c r="CBQ264" s="305"/>
      <c r="CBU264" s="305"/>
      <c r="CBY264" s="305"/>
      <c r="CCC264" s="305"/>
      <c r="CCG264" s="305"/>
      <c r="CCK264" s="305"/>
      <c r="CCO264" s="305"/>
      <c r="CCS264" s="305"/>
      <c r="CCW264" s="305"/>
      <c r="CDA264" s="305"/>
      <c r="CDE264" s="305"/>
      <c r="CDI264" s="305"/>
      <c r="CDM264" s="305"/>
      <c r="CDQ264" s="305"/>
      <c r="CDU264" s="305"/>
      <c r="CDY264" s="305"/>
      <c r="CEC264" s="305"/>
      <c r="CEG264" s="305"/>
      <c r="CEK264" s="305"/>
      <c r="CEO264" s="305"/>
      <c r="CES264" s="305"/>
      <c r="CEW264" s="305"/>
      <c r="CFA264" s="305"/>
      <c r="CFE264" s="305"/>
      <c r="CFI264" s="305"/>
      <c r="CFM264" s="305"/>
      <c r="CFQ264" s="305"/>
      <c r="CFU264" s="305"/>
      <c r="CFY264" s="305"/>
      <c r="CGC264" s="305"/>
      <c r="CGG264" s="305"/>
      <c r="CGK264" s="305"/>
      <c r="CGO264" s="305"/>
      <c r="CGS264" s="305"/>
      <c r="CGW264" s="305"/>
      <c r="CHA264" s="305"/>
      <c r="CHE264" s="305"/>
      <c r="CHI264" s="305"/>
      <c r="CHM264" s="305"/>
      <c r="CHQ264" s="305"/>
      <c r="CHU264" s="305"/>
      <c r="CHY264" s="305"/>
      <c r="CIC264" s="305"/>
      <c r="CIG264" s="305"/>
      <c r="CIK264" s="305"/>
      <c r="CIO264" s="305"/>
      <c r="CIS264" s="305"/>
      <c r="CIW264" s="305"/>
      <c r="CJA264" s="305"/>
      <c r="CJE264" s="305"/>
      <c r="CJI264" s="305"/>
      <c r="CJM264" s="305"/>
      <c r="CJQ264" s="305"/>
      <c r="CJU264" s="305"/>
      <c r="CJY264" s="305"/>
      <c r="CKC264" s="305"/>
      <c r="CKG264" s="305"/>
      <c r="CKK264" s="305"/>
      <c r="CKO264" s="305"/>
      <c r="CKS264" s="305"/>
      <c r="CKW264" s="305"/>
      <c r="CLA264" s="305"/>
      <c r="CLE264" s="305"/>
      <c r="CLI264" s="305"/>
      <c r="CLM264" s="305"/>
      <c r="CLQ264" s="305"/>
      <c r="CLU264" s="305"/>
      <c r="CLY264" s="305"/>
      <c r="CMC264" s="305"/>
      <c r="CMG264" s="305"/>
      <c r="CMK264" s="305"/>
      <c r="CMO264" s="305"/>
      <c r="CMS264" s="305"/>
      <c r="CMW264" s="305"/>
      <c r="CNA264" s="305"/>
      <c r="CNE264" s="305"/>
      <c r="CNI264" s="305"/>
      <c r="CNM264" s="305"/>
      <c r="CNQ264" s="305"/>
      <c r="CNU264" s="305"/>
      <c r="CNY264" s="305"/>
      <c r="COC264" s="305"/>
      <c r="COG264" s="305"/>
      <c r="COK264" s="305"/>
      <c r="COO264" s="305"/>
      <c r="COS264" s="305"/>
      <c r="COW264" s="305"/>
      <c r="CPA264" s="305"/>
      <c r="CPE264" s="305"/>
      <c r="CPI264" s="305"/>
      <c r="CPM264" s="305"/>
      <c r="CPQ264" s="305"/>
      <c r="CPU264" s="305"/>
      <c r="CPY264" s="305"/>
      <c r="CQC264" s="305"/>
      <c r="CQG264" s="305"/>
      <c r="CQK264" s="305"/>
      <c r="CQO264" s="305"/>
      <c r="CQS264" s="305"/>
      <c r="CQW264" s="305"/>
      <c r="CRA264" s="305"/>
      <c r="CRE264" s="305"/>
      <c r="CRI264" s="305"/>
      <c r="CRM264" s="305"/>
      <c r="CRQ264" s="305"/>
      <c r="CRU264" s="305"/>
      <c r="CRY264" s="305"/>
      <c r="CSC264" s="305"/>
      <c r="CSG264" s="305"/>
      <c r="CSK264" s="305"/>
      <c r="CSO264" s="305"/>
      <c r="CSS264" s="305"/>
      <c r="CSW264" s="305"/>
      <c r="CTA264" s="305"/>
      <c r="CTE264" s="305"/>
      <c r="CTI264" s="305"/>
      <c r="CTM264" s="305"/>
      <c r="CTQ264" s="305"/>
      <c r="CTU264" s="305"/>
      <c r="CTY264" s="305"/>
      <c r="CUC264" s="305"/>
      <c r="CUG264" s="305"/>
      <c r="CUK264" s="305"/>
      <c r="CUO264" s="305"/>
      <c r="CUS264" s="305"/>
      <c r="CUW264" s="305"/>
      <c r="CVA264" s="305"/>
      <c r="CVE264" s="305"/>
      <c r="CVI264" s="305"/>
      <c r="CVM264" s="305"/>
      <c r="CVQ264" s="305"/>
      <c r="CVU264" s="305"/>
      <c r="CVY264" s="305"/>
      <c r="CWC264" s="305"/>
      <c r="CWG264" s="305"/>
      <c r="CWK264" s="305"/>
      <c r="CWO264" s="305"/>
      <c r="CWS264" s="305"/>
      <c r="CWW264" s="305"/>
      <c r="CXA264" s="305"/>
      <c r="CXE264" s="305"/>
      <c r="CXI264" s="305"/>
      <c r="CXM264" s="305"/>
      <c r="CXQ264" s="305"/>
      <c r="CXU264" s="305"/>
      <c r="CXY264" s="305"/>
      <c r="CYC264" s="305"/>
      <c r="CYG264" s="305"/>
      <c r="CYK264" s="305"/>
      <c r="CYO264" s="305"/>
      <c r="CYS264" s="305"/>
      <c r="CYW264" s="305"/>
      <c r="CZA264" s="305"/>
      <c r="CZE264" s="305"/>
      <c r="CZI264" s="305"/>
      <c r="CZM264" s="305"/>
      <c r="CZQ264" s="305"/>
      <c r="CZU264" s="305"/>
      <c r="CZY264" s="305"/>
      <c r="DAC264" s="305"/>
      <c r="DAG264" s="305"/>
      <c r="DAK264" s="305"/>
      <c r="DAO264" s="305"/>
      <c r="DAS264" s="305"/>
      <c r="DAW264" s="305"/>
      <c r="DBA264" s="305"/>
      <c r="DBE264" s="305"/>
      <c r="DBI264" s="305"/>
      <c r="DBM264" s="305"/>
      <c r="DBQ264" s="305"/>
      <c r="DBU264" s="305"/>
      <c r="DBY264" s="305"/>
      <c r="DCC264" s="305"/>
      <c r="DCG264" s="305"/>
      <c r="DCK264" s="305"/>
      <c r="DCO264" s="305"/>
      <c r="DCS264" s="305"/>
      <c r="DCW264" s="305"/>
      <c r="DDA264" s="305"/>
      <c r="DDE264" s="305"/>
      <c r="DDI264" s="305"/>
      <c r="DDM264" s="305"/>
      <c r="DDQ264" s="305"/>
      <c r="DDU264" s="305"/>
      <c r="DDY264" s="305"/>
      <c r="DEC264" s="305"/>
      <c r="DEG264" s="305"/>
      <c r="DEK264" s="305"/>
      <c r="DEO264" s="305"/>
      <c r="DES264" s="305"/>
      <c r="DEW264" s="305"/>
      <c r="DFA264" s="305"/>
      <c r="DFE264" s="305"/>
      <c r="DFI264" s="305"/>
      <c r="DFM264" s="305"/>
      <c r="DFQ264" s="305"/>
      <c r="DFU264" s="305"/>
      <c r="DFY264" s="305"/>
      <c r="DGC264" s="305"/>
      <c r="DGG264" s="305"/>
      <c r="DGK264" s="305"/>
      <c r="DGO264" s="305"/>
      <c r="DGS264" s="305"/>
      <c r="DGW264" s="305"/>
      <c r="DHA264" s="305"/>
      <c r="DHE264" s="305"/>
      <c r="DHI264" s="305"/>
      <c r="DHM264" s="305"/>
      <c r="DHQ264" s="305"/>
      <c r="DHU264" s="305"/>
      <c r="DHY264" s="305"/>
      <c r="DIC264" s="305"/>
      <c r="DIG264" s="305"/>
      <c r="DIK264" s="305"/>
      <c r="DIO264" s="305"/>
      <c r="DIS264" s="305"/>
      <c r="DIW264" s="305"/>
      <c r="DJA264" s="305"/>
      <c r="DJE264" s="305"/>
      <c r="DJI264" s="305"/>
      <c r="DJM264" s="305"/>
      <c r="DJQ264" s="305"/>
      <c r="DJU264" s="305"/>
      <c r="DJY264" s="305"/>
      <c r="DKC264" s="305"/>
      <c r="DKG264" s="305"/>
      <c r="DKK264" s="305"/>
      <c r="DKO264" s="305"/>
      <c r="DKS264" s="305"/>
      <c r="DKW264" s="305"/>
      <c r="DLA264" s="305"/>
      <c r="DLE264" s="305"/>
      <c r="DLI264" s="305"/>
      <c r="DLM264" s="305"/>
      <c r="DLQ264" s="305"/>
      <c r="DLU264" s="305"/>
      <c r="DLY264" s="305"/>
      <c r="DMC264" s="305"/>
      <c r="DMG264" s="305"/>
      <c r="DMK264" s="305"/>
      <c r="DMO264" s="305"/>
      <c r="DMS264" s="305"/>
      <c r="DMW264" s="305"/>
      <c r="DNA264" s="305"/>
      <c r="DNE264" s="305"/>
      <c r="DNI264" s="305"/>
      <c r="DNM264" s="305"/>
      <c r="DNQ264" s="305"/>
      <c r="DNU264" s="305"/>
      <c r="DNY264" s="305"/>
      <c r="DOC264" s="305"/>
      <c r="DOG264" s="305"/>
      <c r="DOK264" s="305"/>
      <c r="DOO264" s="305"/>
      <c r="DOS264" s="305"/>
      <c r="DOW264" s="305"/>
      <c r="DPA264" s="305"/>
      <c r="DPE264" s="305"/>
      <c r="DPI264" s="305"/>
      <c r="DPM264" s="305"/>
      <c r="DPQ264" s="305"/>
      <c r="DPU264" s="305"/>
      <c r="DPY264" s="305"/>
      <c r="DQC264" s="305"/>
      <c r="DQG264" s="305"/>
      <c r="DQK264" s="305"/>
      <c r="DQO264" s="305"/>
      <c r="DQS264" s="305"/>
      <c r="DQW264" s="305"/>
      <c r="DRA264" s="305"/>
      <c r="DRE264" s="305"/>
      <c r="DRI264" s="305"/>
      <c r="DRM264" s="305"/>
      <c r="DRQ264" s="305"/>
      <c r="DRU264" s="305"/>
      <c r="DRY264" s="305"/>
      <c r="DSC264" s="305"/>
      <c r="DSG264" s="305"/>
      <c r="DSK264" s="305"/>
      <c r="DSO264" s="305"/>
      <c r="DSS264" s="305"/>
      <c r="DSW264" s="305"/>
      <c r="DTA264" s="305"/>
      <c r="DTE264" s="305"/>
      <c r="DTI264" s="305"/>
      <c r="DTM264" s="305"/>
      <c r="DTQ264" s="305"/>
      <c r="DTU264" s="305"/>
      <c r="DTY264" s="305"/>
      <c r="DUC264" s="305"/>
      <c r="DUG264" s="305"/>
      <c r="DUK264" s="305"/>
      <c r="DUO264" s="305"/>
      <c r="DUS264" s="305"/>
      <c r="DUW264" s="305"/>
      <c r="DVA264" s="305"/>
      <c r="DVE264" s="305"/>
      <c r="DVI264" s="305"/>
      <c r="DVM264" s="305"/>
      <c r="DVQ264" s="305"/>
      <c r="DVU264" s="305"/>
      <c r="DVY264" s="305"/>
      <c r="DWC264" s="305"/>
      <c r="DWG264" s="305"/>
      <c r="DWK264" s="305"/>
      <c r="DWO264" s="305"/>
      <c r="DWS264" s="305"/>
      <c r="DWW264" s="305"/>
      <c r="DXA264" s="305"/>
      <c r="DXE264" s="305"/>
      <c r="DXI264" s="305"/>
      <c r="DXM264" s="305"/>
      <c r="DXQ264" s="305"/>
      <c r="DXU264" s="305"/>
      <c r="DXY264" s="305"/>
      <c r="DYC264" s="305"/>
      <c r="DYG264" s="305"/>
      <c r="DYK264" s="305"/>
      <c r="DYO264" s="305"/>
      <c r="DYS264" s="305"/>
      <c r="DYW264" s="305"/>
      <c r="DZA264" s="305"/>
      <c r="DZE264" s="305"/>
      <c r="DZI264" s="305"/>
      <c r="DZM264" s="305"/>
      <c r="DZQ264" s="305"/>
      <c r="DZU264" s="305"/>
      <c r="DZY264" s="305"/>
      <c r="EAC264" s="305"/>
      <c r="EAG264" s="305"/>
      <c r="EAK264" s="305"/>
      <c r="EAO264" s="305"/>
      <c r="EAS264" s="305"/>
      <c r="EAW264" s="305"/>
      <c r="EBA264" s="305"/>
      <c r="EBE264" s="305"/>
      <c r="EBI264" s="305"/>
      <c r="EBM264" s="305"/>
      <c r="EBQ264" s="305"/>
      <c r="EBU264" s="305"/>
      <c r="EBY264" s="305"/>
      <c r="ECC264" s="305"/>
      <c r="ECG264" s="305"/>
      <c r="ECK264" s="305"/>
      <c r="ECO264" s="305"/>
      <c r="ECS264" s="305"/>
      <c r="ECW264" s="305"/>
      <c r="EDA264" s="305"/>
      <c r="EDE264" s="305"/>
      <c r="EDI264" s="305"/>
      <c r="EDM264" s="305"/>
      <c r="EDQ264" s="305"/>
      <c r="EDU264" s="305"/>
      <c r="EDY264" s="305"/>
      <c r="EEC264" s="305"/>
      <c r="EEG264" s="305"/>
      <c r="EEK264" s="305"/>
      <c r="EEO264" s="305"/>
      <c r="EES264" s="305"/>
      <c r="EEW264" s="305"/>
      <c r="EFA264" s="305"/>
      <c r="EFE264" s="305"/>
      <c r="EFI264" s="305"/>
      <c r="EFM264" s="305"/>
      <c r="EFQ264" s="305"/>
      <c r="EFU264" s="305"/>
      <c r="EFY264" s="305"/>
      <c r="EGC264" s="305"/>
      <c r="EGG264" s="305"/>
      <c r="EGK264" s="305"/>
      <c r="EGO264" s="305"/>
      <c r="EGS264" s="305"/>
      <c r="EGW264" s="305"/>
      <c r="EHA264" s="305"/>
      <c r="EHE264" s="305"/>
      <c r="EHI264" s="305"/>
      <c r="EHM264" s="305"/>
      <c r="EHQ264" s="305"/>
      <c r="EHU264" s="305"/>
      <c r="EHY264" s="305"/>
      <c r="EIC264" s="305"/>
      <c r="EIG264" s="305"/>
      <c r="EIK264" s="305"/>
      <c r="EIO264" s="305"/>
      <c r="EIS264" s="305"/>
      <c r="EIW264" s="305"/>
      <c r="EJA264" s="305"/>
      <c r="EJE264" s="305"/>
      <c r="EJI264" s="305"/>
      <c r="EJM264" s="305"/>
      <c r="EJQ264" s="305"/>
      <c r="EJU264" s="305"/>
      <c r="EJY264" s="305"/>
      <c r="EKC264" s="305"/>
      <c r="EKG264" s="305"/>
      <c r="EKK264" s="305"/>
      <c r="EKO264" s="305"/>
      <c r="EKS264" s="305"/>
      <c r="EKW264" s="305"/>
      <c r="ELA264" s="305"/>
      <c r="ELE264" s="305"/>
      <c r="ELI264" s="305"/>
      <c r="ELM264" s="305"/>
      <c r="ELQ264" s="305"/>
      <c r="ELU264" s="305"/>
      <c r="ELY264" s="305"/>
      <c r="EMC264" s="305"/>
      <c r="EMG264" s="305"/>
      <c r="EMK264" s="305"/>
      <c r="EMO264" s="305"/>
      <c r="EMS264" s="305"/>
      <c r="EMW264" s="305"/>
      <c r="ENA264" s="305"/>
      <c r="ENE264" s="305"/>
      <c r="ENI264" s="305"/>
      <c r="ENM264" s="305"/>
      <c r="ENQ264" s="305"/>
      <c r="ENU264" s="305"/>
      <c r="ENY264" s="305"/>
      <c r="EOC264" s="305"/>
      <c r="EOG264" s="305"/>
      <c r="EOK264" s="305"/>
      <c r="EOO264" s="305"/>
      <c r="EOS264" s="305"/>
      <c r="EOW264" s="305"/>
      <c r="EPA264" s="305"/>
      <c r="EPE264" s="305"/>
      <c r="EPI264" s="305"/>
      <c r="EPM264" s="305"/>
      <c r="EPQ264" s="305"/>
      <c r="EPU264" s="305"/>
      <c r="EPY264" s="305"/>
      <c r="EQC264" s="305"/>
      <c r="EQG264" s="305"/>
      <c r="EQK264" s="305"/>
      <c r="EQO264" s="305"/>
      <c r="EQS264" s="305"/>
      <c r="EQW264" s="305"/>
      <c r="ERA264" s="305"/>
      <c r="ERE264" s="305"/>
      <c r="ERI264" s="305"/>
      <c r="ERM264" s="305"/>
      <c r="ERQ264" s="305"/>
      <c r="ERU264" s="305"/>
      <c r="ERY264" s="305"/>
      <c r="ESC264" s="305"/>
      <c r="ESG264" s="305"/>
      <c r="ESK264" s="305"/>
      <c r="ESO264" s="305"/>
      <c r="ESS264" s="305"/>
      <c r="ESW264" s="305"/>
      <c r="ETA264" s="305"/>
      <c r="ETE264" s="305"/>
      <c r="ETI264" s="305"/>
      <c r="ETM264" s="305"/>
      <c r="ETQ264" s="305"/>
      <c r="ETU264" s="305"/>
      <c r="ETY264" s="305"/>
      <c r="EUC264" s="305"/>
      <c r="EUG264" s="305"/>
      <c r="EUK264" s="305"/>
      <c r="EUO264" s="305"/>
      <c r="EUS264" s="305"/>
      <c r="EUW264" s="305"/>
      <c r="EVA264" s="305"/>
      <c r="EVE264" s="305"/>
      <c r="EVI264" s="305"/>
      <c r="EVM264" s="305"/>
      <c r="EVQ264" s="305"/>
      <c r="EVU264" s="305"/>
      <c r="EVY264" s="305"/>
      <c r="EWC264" s="305"/>
      <c r="EWG264" s="305"/>
      <c r="EWK264" s="305"/>
      <c r="EWO264" s="305"/>
      <c r="EWS264" s="305"/>
      <c r="EWW264" s="305"/>
      <c r="EXA264" s="305"/>
      <c r="EXE264" s="305"/>
      <c r="EXI264" s="305"/>
      <c r="EXM264" s="305"/>
      <c r="EXQ264" s="305"/>
      <c r="EXU264" s="305"/>
      <c r="EXY264" s="305"/>
      <c r="EYC264" s="305"/>
      <c r="EYG264" s="305"/>
      <c r="EYK264" s="305"/>
      <c r="EYO264" s="305"/>
      <c r="EYS264" s="305"/>
      <c r="EYW264" s="305"/>
      <c r="EZA264" s="305"/>
      <c r="EZE264" s="305"/>
      <c r="EZI264" s="305"/>
      <c r="EZM264" s="305"/>
      <c r="EZQ264" s="305"/>
      <c r="EZU264" s="305"/>
      <c r="EZY264" s="305"/>
      <c r="FAC264" s="305"/>
      <c r="FAG264" s="305"/>
      <c r="FAK264" s="305"/>
      <c r="FAO264" s="305"/>
      <c r="FAS264" s="305"/>
      <c r="FAW264" s="305"/>
      <c r="FBA264" s="305"/>
      <c r="FBE264" s="305"/>
      <c r="FBI264" s="305"/>
      <c r="FBM264" s="305"/>
      <c r="FBQ264" s="305"/>
      <c r="FBU264" s="305"/>
      <c r="FBY264" s="305"/>
      <c r="FCC264" s="305"/>
      <c r="FCG264" s="305"/>
      <c r="FCK264" s="305"/>
      <c r="FCO264" s="305"/>
      <c r="FCS264" s="305"/>
      <c r="FCW264" s="305"/>
      <c r="FDA264" s="305"/>
      <c r="FDE264" s="305"/>
      <c r="FDI264" s="305"/>
      <c r="FDM264" s="305"/>
      <c r="FDQ264" s="305"/>
      <c r="FDU264" s="305"/>
      <c r="FDY264" s="305"/>
      <c r="FEC264" s="305"/>
      <c r="FEG264" s="305"/>
      <c r="FEK264" s="305"/>
      <c r="FEO264" s="305"/>
      <c r="FES264" s="305"/>
      <c r="FEW264" s="305"/>
      <c r="FFA264" s="305"/>
      <c r="FFE264" s="305"/>
      <c r="FFI264" s="305"/>
      <c r="FFM264" s="305"/>
      <c r="FFQ264" s="305"/>
      <c r="FFU264" s="305"/>
      <c r="FFY264" s="305"/>
      <c r="FGC264" s="305"/>
      <c r="FGG264" s="305"/>
      <c r="FGK264" s="305"/>
      <c r="FGO264" s="305"/>
      <c r="FGS264" s="305"/>
      <c r="FGW264" s="305"/>
      <c r="FHA264" s="305"/>
      <c r="FHE264" s="305"/>
      <c r="FHI264" s="305"/>
      <c r="FHM264" s="305"/>
      <c r="FHQ264" s="305"/>
      <c r="FHU264" s="305"/>
      <c r="FHY264" s="305"/>
      <c r="FIC264" s="305"/>
      <c r="FIG264" s="305"/>
      <c r="FIK264" s="305"/>
      <c r="FIO264" s="305"/>
      <c r="FIS264" s="305"/>
      <c r="FIW264" s="305"/>
      <c r="FJA264" s="305"/>
      <c r="FJE264" s="305"/>
      <c r="FJI264" s="305"/>
      <c r="FJM264" s="305"/>
      <c r="FJQ264" s="305"/>
      <c r="FJU264" s="305"/>
      <c r="FJY264" s="305"/>
      <c r="FKC264" s="305"/>
      <c r="FKG264" s="305"/>
      <c r="FKK264" s="305"/>
      <c r="FKO264" s="305"/>
      <c r="FKS264" s="305"/>
      <c r="FKW264" s="305"/>
      <c r="FLA264" s="305"/>
      <c r="FLE264" s="305"/>
      <c r="FLI264" s="305"/>
      <c r="FLM264" s="305"/>
      <c r="FLQ264" s="305"/>
      <c r="FLU264" s="305"/>
      <c r="FLY264" s="305"/>
      <c r="FMC264" s="305"/>
      <c r="FMG264" s="305"/>
      <c r="FMK264" s="305"/>
      <c r="FMO264" s="305"/>
      <c r="FMS264" s="305"/>
      <c r="FMW264" s="305"/>
      <c r="FNA264" s="305"/>
      <c r="FNE264" s="305"/>
      <c r="FNI264" s="305"/>
      <c r="FNM264" s="305"/>
      <c r="FNQ264" s="305"/>
      <c r="FNU264" s="305"/>
      <c r="FNY264" s="305"/>
      <c r="FOC264" s="305"/>
      <c r="FOG264" s="305"/>
      <c r="FOK264" s="305"/>
      <c r="FOO264" s="305"/>
      <c r="FOS264" s="305"/>
      <c r="FOW264" s="305"/>
      <c r="FPA264" s="305"/>
      <c r="FPE264" s="305"/>
      <c r="FPI264" s="305"/>
      <c r="FPM264" s="305"/>
      <c r="FPQ264" s="305"/>
      <c r="FPU264" s="305"/>
      <c r="FPY264" s="305"/>
      <c r="FQC264" s="305"/>
      <c r="FQG264" s="305"/>
      <c r="FQK264" s="305"/>
      <c r="FQO264" s="305"/>
      <c r="FQS264" s="305"/>
      <c r="FQW264" s="305"/>
      <c r="FRA264" s="305"/>
      <c r="FRE264" s="305"/>
      <c r="FRI264" s="305"/>
      <c r="FRM264" s="305"/>
      <c r="FRQ264" s="305"/>
      <c r="FRU264" s="305"/>
      <c r="FRY264" s="305"/>
      <c r="FSC264" s="305"/>
      <c r="FSG264" s="305"/>
      <c r="FSK264" s="305"/>
      <c r="FSO264" s="305"/>
      <c r="FSS264" s="305"/>
      <c r="FSW264" s="305"/>
      <c r="FTA264" s="305"/>
      <c r="FTE264" s="305"/>
      <c r="FTI264" s="305"/>
      <c r="FTM264" s="305"/>
      <c r="FTQ264" s="305"/>
      <c r="FTU264" s="305"/>
      <c r="FTY264" s="305"/>
      <c r="FUC264" s="305"/>
      <c r="FUG264" s="305"/>
      <c r="FUK264" s="305"/>
      <c r="FUO264" s="305"/>
      <c r="FUS264" s="305"/>
      <c r="FUW264" s="305"/>
      <c r="FVA264" s="305"/>
      <c r="FVE264" s="305"/>
      <c r="FVI264" s="305"/>
      <c r="FVM264" s="305"/>
      <c r="FVQ264" s="305"/>
      <c r="FVU264" s="305"/>
      <c r="FVY264" s="305"/>
      <c r="FWC264" s="305"/>
      <c r="FWG264" s="305"/>
      <c r="FWK264" s="305"/>
      <c r="FWO264" s="305"/>
      <c r="FWS264" s="305"/>
      <c r="FWW264" s="305"/>
      <c r="FXA264" s="305"/>
      <c r="FXE264" s="305"/>
      <c r="FXI264" s="305"/>
      <c r="FXM264" s="305"/>
      <c r="FXQ264" s="305"/>
      <c r="FXU264" s="305"/>
      <c r="FXY264" s="305"/>
      <c r="FYC264" s="305"/>
      <c r="FYG264" s="305"/>
      <c r="FYK264" s="305"/>
      <c r="FYO264" s="305"/>
      <c r="FYS264" s="305"/>
      <c r="FYW264" s="305"/>
      <c r="FZA264" s="305"/>
      <c r="FZE264" s="305"/>
      <c r="FZI264" s="305"/>
      <c r="FZM264" s="305"/>
      <c r="FZQ264" s="305"/>
      <c r="FZU264" s="305"/>
      <c r="FZY264" s="305"/>
      <c r="GAC264" s="305"/>
      <c r="GAG264" s="305"/>
      <c r="GAK264" s="305"/>
      <c r="GAO264" s="305"/>
      <c r="GAS264" s="305"/>
      <c r="GAW264" s="305"/>
      <c r="GBA264" s="305"/>
      <c r="GBE264" s="305"/>
      <c r="GBI264" s="305"/>
      <c r="GBM264" s="305"/>
      <c r="GBQ264" s="305"/>
      <c r="GBU264" s="305"/>
      <c r="GBY264" s="305"/>
      <c r="GCC264" s="305"/>
      <c r="GCG264" s="305"/>
      <c r="GCK264" s="305"/>
      <c r="GCO264" s="305"/>
      <c r="GCS264" s="305"/>
      <c r="GCW264" s="305"/>
      <c r="GDA264" s="305"/>
      <c r="GDE264" s="305"/>
      <c r="GDI264" s="305"/>
      <c r="GDM264" s="305"/>
      <c r="GDQ264" s="305"/>
      <c r="GDU264" s="305"/>
      <c r="GDY264" s="305"/>
      <c r="GEC264" s="305"/>
      <c r="GEG264" s="305"/>
      <c r="GEK264" s="305"/>
      <c r="GEO264" s="305"/>
      <c r="GES264" s="305"/>
      <c r="GEW264" s="305"/>
      <c r="GFA264" s="305"/>
      <c r="GFE264" s="305"/>
      <c r="GFI264" s="305"/>
      <c r="GFM264" s="305"/>
      <c r="GFQ264" s="305"/>
      <c r="GFU264" s="305"/>
      <c r="GFY264" s="305"/>
      <c r="GGC264" s="305"/>
      <c r="GGG264" s="305"/>
      <c r="GGK264" s="305"/>
      <c r="GGO264" s="305"/>
      <c r="GGS264" s="305"/>
      <c r="GGW264" s="305"/>
      <c r="GHA264" s="305"/>
      <c r="GHE264" s="305"/>
      <c r="GHI264" s="305"/>
      <c r="GHM264" s="305"/>
      <c r="GHQ264" s="305"/>
      <c r="GHU264" s="305"/>
      <c r="GHY264" s="305"/>
      <c r="GIC264" s="305"/>
      <c r="GIG264" s="305"/>
      <c r="GIK264" s="305"/>
      <c r="GIO264" s="305"/>
      <c r="GIS264" s="305"/>
      <c r="GIW264" s="305"/>
      <c r="GJA264" s="305"/>
      <c r="GJE264" s="305"/>
      <c r="GJI264" s="305"/>
      <c r="GJM264" s="305"/>
      <c r="GJQ264" s="305"/>
      <c r="GJU264" s="305"/>
      <c r="GJY264" s="305"/>
      <c r="GKC264" s="305"/>
      <c r="GKG264" s="305"/>
      <c r="GKK264" s="305"/>
      <c r="GKO264" s="305"/>
      <c r="GKS264" s="305"/>
      <c r="GKW264" s="305"/>
      <c r="GLA264" s="305"/>
      <c r="GLE264" s="305"/>
      <c r="GLI264" s="305"/>
      <c r="GLM264" s="305"/>
      <c r="GLQ264" s="305"/>
      <c r="GLU264" s="305"/>
      <c r="GLY264" s="305"/>
      <c r="GMC264" s="305"/>
      <c r="GMG264" s="305"/>
      <c r="GMK264" s="305"/>
      <c r="GMO264" s="305"/>
      <c r="GMS264" s="305"/>
      <c r="GMW264" s="305"/>
      <c r="GNA264" s="305"/>
      <c r="GNE264" s="305"/>
      <c r="GNI264" s="305"/>
      <c r="GNM264" s="305"/>
      <c r="GNQ264" s="305"/>
      <c r="GNU264" s="305"/>
      <c r="GNY264" s="305"/>
      <c r="GOC264" s="305"/>
      <c r="GOG264" s="305"/>
      <c r="GOK264" s="305"/>
      <c r="GOO264" s="305"/>
      <c r="GOS264" s="305"/>
      <c r="GOW264" s="305"/>
      <c r="GPA264" s="305"/>
      <c r="GPE264" s="305"/>
      <c r="GPI264" s="305"/>
      <c r="GPM264" s="305"/>
      <c r="GPQ264" s="305"/>
      <c r="GPU264" s="305"/>
      <c r="GPY264" s="305"/>
      <c r="GQC264" s="305"/>
      <c r="GQG264" s="305"/>
      <c r="GQK264" s="305"/>
      <c r="GQO264" s="305"/>
      <c r="GQS264" s="305"/>
      <c r="GQW264" s="305"/>
      <c r="GRA264" s="305"/>
      <c r="GRE264" s="305"/>
      <c r="GRI264" s="305"/>
      <c r="GRM264" s="305"/>
      <c r="GRQ264" s="305"/>
      <c r="GRU264" s="305"/>
      <c r="GRY264" s="305"/>
      <c r="GSC264" s="305"/>
      <c r="GSG264" s="305"/>
      <c r="GSK264" s="305"/>
      <c r="GSO264" s="305"/>
      <c r="GSS264" s="305"/>
      <c r="GSW264" s="305"/>
      <c r="GTA264" s="305"/>
      <c r="GTE264" s="305"/>
      <c r="GTI264" s="305"/>
      <c r="GTM264" s="305"/>
      <c r="GTQ264" s="305"/>
      <c r="GTU264" s="305"/>
      <c r="GTY264" s="305"/>
      <c r="GUC264" s="305"/>
      <c r="GUG264" s="305"/>
      <c r="GUK264" s="305"/>
      <c r="GUO264" s="305"/>
      <c r="GUS264" s="305"/>
      <c r="GUW264" s="305"/>
      <c r="GVA264" s="305"/>
      <c r="GVE264" s="305"/>
      <c r="GVI264" s="305"/>
      <c r="GVM264" s="305"/>
      <c r="GVQ264" s="305"/>
      <c r="GVU264" s="305"/>
      <c r="GVY264" s="305"/>
      <c r="GWC264" s="305"/>
      <c r="GWG264" s="305"/>
      <c r="GWK264" s="305"/>
      <c r="GWO264" s="305"/>
      <c r="GWS264" s="305"/>
      <c r="GWW264" s="305"/>
      <c r="GXA264" s="305"/>
      <c r="GXE264" s="305"/>
      <c r="GXI264" s="305"/>
      <c r="GXM264" s="305"/>
      <c r="GXQ264" s="305"/>
      <c r="GXU264" s="305"/>
      <c r="GXY264" s="305"/>
      <c r="GYC264" s="305"/>
      <c r="GYG264" s="305"/>
      <c r="GYK264" s="305"/>
      <c r="GYO264" s="305"/>
      <c r="GYS264" s="305"/>
      <c r="GYW264" s="305"/>
      <c r="GZA264" s="305"/>
      <c r="GZE264" s="305"/>
      <c r="GZI264" s="305"/>
      <c r="GZM264" s="305"/>
      <c r="GZQ264" s="305"/>
      <c r="GZU264" s="305"/>
      <c r="GZY264" s="305"/>
      <c r="HAC264" s="305"/>
      <c r="HAG264" s="305"/>
      <c r="HAK264" s="305"/>
      <c r="HAO264" s="305"/>
      <c r="HAS264" s="305"/>
      <c r="HAW264" s="305"/>
      <c r="HBA264" s="305"/>
      <c r="HBE264" s="305"/>
      <c r="HBI264" s="305"/>
      <c r="HBM264" s="305"/>
      <c r="HBQ264" s="305"/>
      <c r="HBU264" s="305"/>
      <c r="HBY264" s="305"/>
      <c r="HCC264" s="305"/>
      <c r="HCG264" s="305"/>
      <c r="HCK264" s="305"/>
      <c r="HCO264" s="305"/>
      <c r="HCS264" s="305"/>
      <c r="HCW264" s="305"/>
      <c r="HDA264" s="305"/>
      <c r="HDE264" s="305"/>
      <c r="HDI264" s="305"/>
      <c r="HDM264" s="305"/>
      <c r="HDQ264" s="305"/>
      <c r="HDU264" s="305"/>
      <c r="HDY264" s="305"/>
      <c r="HEC264" s="305"/>
      <c r="HEG264" s="305"/>
      <c r="HEK264" s="305"/>
      <c r="HEO264" s="305"/>
      <c r="HES264" s="305"/>
      <c r="HEW264" s="305"/>
      <c r="HFA264" s="305"/>
      <c r="HFE264" s="305"/>
      <c r="HFI264" s="305"/>
      <c r="HFM264" s="305"/>
      <c r="HFQ264" s="305"/>
      <c r="HFU264" s="305"/>
      <c r="HFY264" s="305"/>
      <c r="HGC264" s="305"/>
      <c r="HGG264" s="305"/>
      <c r="HGK264" s="305"/>
      <c r="HGO264" s="305"/>
      <c r="HGS264" s="305"/>
      <c r="HGW264" s="305"/>
      <c r="HHA264" s="305"/>
      <c r="HHE264" s="305"/>
      <c r="HHI264" s="305"/>
      <c r="HHM264" s="305"/>
      <c r="HHQ264" s="305"/>
      <c r="HHU264" s="305"/>
      <c r="HHY264" s="305"/>
      <c r="HIC264" s="305"/>
      <c r="HIG264" s="305"/>
      <c r="HIK264" s="305"/>
      <c r="HIO264" s="305"/>
      <c r="HIS264" s="305"/>
      <c r="HIW264" s="305"/>
      <c r="HJA264" s="305"/>
      <c r="HJE264" s="305"/>
      <c r="HJI264" s="305"/>
      <c r="HJM264" s="305"/>
      <c r="HJQ264" s="305"/>
      <c r="HJU264" s="305"/>
      <c r="HJY264" s="305"/>
      <c r="HKC264" s="305"/>
      <c r="HKG264" s="305"/>
      <c r="HKK264" s="305"/>
      <c r="HKO264" s="305"/>
      <c r="HKS264" s="305"/>
      <c r="HKW264" s="305"/>
      <c r="HLA264" s="305"/>
      <c r="HLE264" s="305"/>
      <c r="HLI264" s="305"/>
      <c r="HLM264" s="305"/>
      <c r="HLQ264" s="305"/>
      <c r="HLU264" s="305"/>
      <c r="HLY264" s="305"/>
      <c r="HMC264" s="305"/>
      <c r="HMG264" s="305"/>
      <c r="HMK264" s="305"/>
      <c r="HMO264" s="305"/>
      <c r="HMS264" s="305"/>
      <c r="HMW264" s="305"/>
      <c r="HNA264" s="305"/>
      <c r="HNE264" s="305"/>
      <c r="HNI264" s="305"/>
      <c r="HNM264" s="305"/>
      <c r="HNQ264" s="305"/>
      <c r="HNU264" s="305"/>
      <c r="HNY264" s="305"/>
      <c r="HOC264" s="305"/>
      <c r="HOG264" s="305"/>
      <c r="HOK264" s="305"/>
      <c r="HOO264" s="305"/>
      <c r="HOS264" s="305"/>
      <c r="HOW264" s="305"/>
      <c r="HPA264" s="305"/>
      <c r="HPE264" s="305"/>
      <c r="HPI264" s="305"/>
      <c r="HPM264" s="305"/>
      <c r="HPQ264" s="305"/>
      <c r="HPU264" s="305"/>
      <c r="HPY264" s="305"/>
      <c r="HQC264" s="305"/>
      <c r="HQG264" s="305"/>
      <c r="HQK264" s="305"/>
      <c r="HQO264" s="305"/>
      <c r="HQS264" s="305"/>
      <c r="HQW264" s="305"/>
      <c r="HRA264" s="305"/>
      <c r="HRE264" s="305"/>
      <c r="HRI264" s="305"/>
      <c r="HRM264" s="305"/>
      <c r="HRQ264" s="305"/>
      <c r="HRU264" s="305"/>
      <c r="HRY264" s="305"/>
      <c r="HSC264" s="305"/>
      <c r="HSG264" s="305"/>
      <c r="HSK264" s="305"/>
      <c r="HSO264" s="305"/>
      <c r="HSS264" s="305"/>
      <c r="HSW264" s="305"/>
      <c r="HTA264" s="305"/>
      <c r="HTE264" s="305"/>
      <c r="HTI264" s="305"/>
      <c r="HTM264" s="305"/>
      <c r="HTQ264" s="305"/>
      <c r="HTU264" s="305"/>
      <c r="HTY264" s="305"/>
      <c r="HUC264" s="305"/>
      <c r="HUG264" s="305"/>
      <c r="HUK264" s="305"/>
      <c r="HUO264" s="305"/>
      <c r="HUS264" s="305"/>
      <c r="HUW264" s="305"/>
      <c r="HVA264" s="305"/>
      <c r="HVE264" s="305"/>
      <c r="HVI264" s="305"/>
      <c r="HVM264" s="305"/>
      <c r="HVQ264" s="305"/>
      <c r="HVU264" s="305"/>
      <c r="HVY264" s="305"/>
      <c r="HWC264" s="305"/>
      <c r="HWG264" s="305"/>
      <c r="HWK264" s="305"/>
      <c r="HWO264" s="305"/>
      <c r="HWS264" s="305"/>
      <c r="HWW264" s="305"/>
      <c r="HXA264" s="305"/>
      <c r="HXE264" s="305"/>
      <c r="HXI264" s="305"/>
      <c r="HXM264" s="305"/>
      <c r="HXQ264" s="305"/>
      <c r="HXU264" s="305"/>
      <c r="HXY264" s="305"/>
      <c r="HYC264" s="305"/>
      <c r="HYG264" s="305"/>
      <c r="HYK264" s="305"/>
      <c r="HYO264" s="305"/>
      <c r="HYS264" s="305"/>
      <c r="HYW264" s="305"/>
      <c r="HZA264" s="305"/>
      <c r="HZE264" s="305"/>
      <c r="HZI264" s="305"/>
      <c r="HZM264" s="305"/>
      <c r="HZQ264" s="305"/>
      <c r="HZU264" s="305"/>
      <c r="HZY264" s="305"/>
      <c r="IAC264" s="305"/>
      <c r="IAG264" s="305"/>
      <c r="IAK264" s="305"/>
      <c r="IAO264" s="305"/>
      <c r="IAS264" s="305"/>
      <c r="IAW264" s="305"/>
      <c r="IBA264" s="305"/>
      <c r="IBE264" s="305"/>
      <c r="IBI264" s="305"/>
      <c r="IBM264" s="305"/>
      <c r="IBQ264" s="305"/>
      <c r="IBU264" s="305"/>
      <c r="IBY264" s="305"/>
      <c r="ICC264" s="305"/>
      <c r="ICG264" s="305"/>
      <c r="ICK264" s="305"/>
      <c r="ICO264" s="305"/>
      <c r="ICS264" s="305"/>
      <c r="ICW264" s="305"/>
      <c r="IDA264" s="305"/>
      <c r="IDE264" s="305"/>
      <c r="IDI264" s="305"/>
      <c r="IDM264" s="305"/>
      <c r="IDQ264" s="305"/>
      <c r="IDU264" s="305"/>
      <c r="IDY264" s="305"/>
      <c r="IEC264" s="305"/>
      <c r="IEG264" s="305"/>
      <c r="IEK264" s="305"/>
      <c r="IEO264" s="305"/>
      <c r="IES264" s="305"/>
      <c r="IEW264" s="305"/>
      <c r="IFA264" s="305"/>
      <c r="IFE264" s="305"/>
      <c r="IFI264" s="305"/>
      <c r="IFM264" s="305"/>
      <c r="IFQ264" s="305"/>
      <c r="IFU264" s="305"/>
      <c r="IFY264" s="305"/>
      <c r="IGC264" s="305"/>
      <c r="IGG264" s="305"/>
      <c r="IGK264" s="305"/>
      <c r="IGO264" s="305"/>
      <c r="IGS264" s="305"/>
      <c r="IGW264" s="305"/>
      <c r="IHA264" s="305"/>
      <c r="IHE264" s="305"/>
      <c r="IHI264" s="305"/>
      <c r="IHM264" s="305"/>
      <c r="IHQ264" s="305"/>
      <c r="IHU264" s="305"/>
      <c r="IHY264" s="305"/>
      <c r="IIC264" s="305"/>
      <c r="IIG264" s="305"/>
      <c r="IIK264" s="305"/>
      <c r="IIO264" s="305"/>
      <c r="IIS264" s="305"/>
      <c r="IIW264" s="305"/>
      <c r="IJA264" s="305"/>
      <c r="IJE264" s="305"/>
      <c r="IJI264" s="305"/>
      <c r="IJM264" s="305"/>
      <c r="IJQ264" s="305"/>
      <c r="IJU264" s="305"/>
      <c r="IJY264" s="305"/>
      <c r="IKC264" s="305"/>
      <c r="IKG264" s="305"/>
      <c r="IKK264" s="305"/>
      <c r="IKO264" s="305"/>
      <c r="IKS264" s="305"/>
      <c r="IKW264" s="305"/>
      <c r="ILA264" s="305"/>
      <c r="ILE264" s="305"/>
      <c r="ILI264" s="305"/>
      <c r="ILM264" s="305"/>
      <c r="ILQ264" s="305"/>
      <c r="ILU264" s="305"/>
      <c r="ILY264" s="305"/>
      <c r="IMC264" s="305"/>
      <c r="IMG264" s="305"/>
      <c r="IMK264" s="305"/>
      <c r="IMO264" s="305"/>
      <c r="IMS264" s="305"/>
      <c r="IMW264" s="305"/>
      <c r="INA264" s="305"/>
      <c r="INE264" s="305"/>
      <c r="INI264" s="305"/>
      <c r="INM264" s="305"/>
      <c r="INQ264" s="305"/>
      <c r="INU264" s="305"/>
      <c r="INY264" s="305"/>
      <c r="IOC264" s="305"/>
      <c r="IOG264" s="305"/>
      <c r="IOK264" s="305"/>
      <c r="IOO264" s="305"/>
      <c r="IOS264" s="305"/>
      <c r="IOW264" s="305"/>
      <c r="IPA264" s="305"/>
      <c r="IPE264" s="305"/>
      <c r="IPI264" s="305"/>
      <c r="IPM264" s="305"/>
      <c r="IPQ264" s="305"/>
      <c r="IPU264" s="305"/>
      <c r="IPY264" s="305"/>
      <c r="IQC264" s="305"/>
      <c r="IQG264" s="305"/>
      <c r="IQK264" s="305"/>
      <c r="IQO264" s="305"/>
      <c r="IQS264" s="305"/>
      <c r="IQW264" s="305"/>
      <c r="IRA264" s="305"/>
      <c r="IRE264" s="305"/>
      <c r="IRI264" s="305"/>
      <c r="IRM264" s="305"/>
      <c r="IRQ264" s="305"/>
      <c r="IRU264" s="305"/>
      <c r="IRY264" s="305"/>
      <c r="ISC264" s="305"/>
      <c r="ISG264" s="305"/>
      <c r="ISK264" s="305"/>
      <c r="ISO264" s="305"/>
      <c r="ISS264" s="305"/>
      <c r="ISW264" s="305"/>
      <c r="ITA264" s="305"/>
      <c r="ITE264" s="305"/>
      <c r="ITI264" s="305"/>
      <c r="ITM264" s="305"/>
      <c r="ITQ264" s="305"/>
      <c r="ITU264" s="305"/>
      <c r="ITY264" s="305"/>
      <c r="IUC264" s="305"/>
      <c r="IUG264" s="305"/>
      <c r="IUK264" s="305"/>
      <c r="IUO264" s="305"/>
      <c r="IUS264" s="305"/>
      <c r="IUW264" s="305"/>
      <c r="IVA264" s="305"/>
      <c r="IVE264" s="305"/>
      <c r="IVI264" s="305"/>
      <c r="IVM264" s="305"/>
      <c r="IVQ264" s="305"/>
      <c r="IVU264" s="305"/>
      <c r="IVY264" s="305"/>
      <c r="IWC264" s="305"/>
      <c r="IWG264" s="305"/>
      <c r="IWK264" s="305"/>
      <c r="IWO264" s="305"/>
      <c r="IWS264" s="305"/>
      <c r="IWW264" s="305"/>
      <c r="IXA264" s="305"/>
      <c r="IXE264" s="305"/>
      <c r="IXI264" s="305"/>
      <c r="IXM264" s="305"/>
      <c r="IXQ264" s="305"/>
      <c r="IXU264" s="305"/>
      <c r="IXY264" s="305"/>
      <c r="IYC264" s="305"/>
      <c r="IYG264" s="305"/>
      <c r="IYK264" s="305"/>
      <c r="IYO264" s="305"/>
      <c r="IYS264" s="305"/>
      <c r="IYW264" s="305"/>
      <c r="IZA264" s="305"/>
      <c r="IZE264" s="305"/>
      <c r="IZI264" s="305"/>
      <c r="IZM264" s="305"/>
      <c r="IZQ264" s="305"/>
      <c r="IZU264" s="305"/>
      <c r="IZY264" s="305"/>
      <c r="JAC264" s="305"/>
      <c r="JAG264" s="305"/>
      <c r="JAK264" s="305"/>
      <c r="JAO264" s="305"/>
      <c r="JAS264" s="305"/>
      <c r="JAW264" s="305"/>
      <c r="JBA264" s="305"/>
      <c r="JBE264" s="305"/>
      <c r="JBI264" s="305"/>
      <c r="JBM264" s="305"/>
      <c r="JBQ264" s="305"/>
      <c r="JBU264" s="305"/>
      <c r="JBY264" s="305"/>
      <c r="JCC264" s="305"/>
      <c r="JCG264" s="305"/>
      <c r="JCK264" s="305"/>
      <c r="JCO264" s="305"/>
      <c r="JCS264" s="305"/>
      <c r="JCW264" s="305"/>
      <c r="JDA264" s="305"/>
      <c r="JDE264" s="305"/>
      <c r="JDI264" s="305"/>
      <c r="JDM264" s="305"/>
      <c r="JDQ264" s="305"/>
      <c r="JDU264" s="305"/>
      <c r="JDY264" s="305"/>
      <c r="JEC264" s="305"/>
      <c r="JEG264" s="305"/>
      <c r="JEK264" s="305"/>
      <c r="JEO264" s="305"/>
      <c r="JES264" s="305"/>
      <c r="JEW264" s="305"/>
      <c r="JFA264" s="305"/>
      <c r="JFE264" s="305"/>
      <c r="JFI264" s="305"/>
      <c r="JFM264" s="305"/>
      <c r="JFQ264" s="305"/>
      <c r="JFU264" s="305"/>
      <c r="JFY264" s="305"/>
      <c r="JGC264" s="305"/>
      <c r="JGG264" s="305"/>
      <c r="JGK264" s="305"/>
      <c r="JGO264" s="305"/>
      <c r="JGS264" s="305"/>
      <c r="JGW264" s="305"/>
      <c r="JHA264" s="305"/>
      <c r="JHE264" s="305"/>
      <c r="JHI264" s="305"/>
      <c r="JHM264" s="305"/>
      <c r="JHQ264" s="305"/>
      <c r="JHU264" s="305"/>
      <c r="JHY264" s="305"/>
      <c r="JIC264" s="305"/>
      <c r="JIG264" s="305"/>
      <c r="JIK264" s="305"/>
      <c r="JIO264" s="305"/>
      <c r="JIS264" s="305"/>
      <c r="JIW264" s="305"/>
      <c r="JJA264" s="305"/>
      <c r="JJE264" s="305"/>
      <c r="JJI264" s="305"/>
      <c r="JJM264" s="305"/>
      <c r="JJQ264" s="305"/>
      <c r="JJU264" s="305"/>
      <c r="JJY264" s="305"/>
      <c r="JKC264" s="305"/>
      <c r="JKG264" s="305"/>
      <c r="JKK264" s="305"/>
      <c r="JKO264" s="305"/>
      <c r="JKS264" s="305"/>
      <c r="JKW264" s="305"/>
      <c r="JLA264" s="305"/>
      <c r="JLE264" s="305"/>
      <c r="JLI264" s="305"/>
      <c r="JLM264" s="305"/>
      <c r="JLQ264" s="305"/>
      <c r="JLU264" s="305"/>
      <c r="JLY264" s="305"/>
      <c r="JMC264" s="305"/>
      <c r="JMG264" s="305"/>
      <c r="JMK264" s="305"/>
      <c r="JMO264" s="305"/>
      <c r="JMS264" s="305"/>
      <c r="JMW264" s="305"/>
      <c r="JNA264" s="305"/>
      <c r="JNE264" s="305"/>
      <c r="JNI264" s="305"/>
      <c r="JNM264" s="305"/>
      <c r="JNQ264" s="305"/>
      <c r="JNU264" s="305"/>
      <c r="JNY264" s="305"/>
      <c r="JOC264" s="305"/>
      <c r="JOG264" s="305"/>
      <c r="JOK264" s="305"/>
      <c r="JOO264" s="305"/>
      <c r="JOS264" s="305"/>
      <c r="JOW264" s="305"/>
      <c r="JPA264" s="305"/>
      <c r="JPE264" s="305"/>
      <c r="JPI264" s="305"/>
      <c r="JPM264" s="305"/>
      <c r="JPQ264" s="305"/>
      <c r="JPU264" s="305"/>
      <c r="JPY264" s="305"/>
      <c r="JQC264" s="305"/>
      <c r="JQG264" s="305"/>
      <c r="JQK264" s="305"/>
      <c r="JQO264" s="305"/>
      <c r="JQS264" s="305"/>
      <c r="JQW264" s="305"/>
      <c r="JRA264" s="305"/>
      <c r="JRE264" s="305"/>
      <c r="JRI264" s="305"/>
      <c r="JRM264" s="305"/>
      <c r="JRQ264" s="305"/>
      <c r="JRU264" s="305"/>
      <c r="JRY264" s="305"/>
      <c r="JSC264" s="305"/>
      <c r="JSG264" s="305"/>
      <c r="JSK264" s="305"/>
      <c r="JSO264" s="305"/>
      <c r="JSS264" s="305"/>
      <c r="JSW264" s="305"/>
      <c r="JTA264" s="305"/>
      <c r="JTE264" s="305"/>
      <c r="JTI264" s="305"/>
      <c r="JTM264" s="305"/>
      <c r="JTQ264" s="305"/>
      <c r="JTU264" s="305"/>
      <c r="JTY264" s="305"/>
      <c r="JUC264" s="305"/>
      <c r="JUG264" s="305"/>
      <c r="JUK264" s="305"/>
      <c r="JUO264" s="305"/>
      <c r="JUS264" s="305"/>
      <c r="JUW264" s="305"/>
      <c r="JVA264" s="305"/>
      <c r="JVE264" s="305"/>
      <c r="JVI264" s="305"/>
      <c r="JVM264" s="305"/>
      <c r="JVQ264" s="305"/>
      <c r="JVU264" s="305"/>
      <c r="JVY264" s="305"/>
      <c r="JWC264" s="305"/>
      <c r="JWG264" s="305"/>
      <c r="JWK264" s="305"/>
      <c r="JWO264" s="305"/>
      <c r="JWS264" s="305"/>
      <c r="JWW264" s="305"/>
      <c r="JXA264" s="305"/>
      <c r="JXE264" s="305"/>
      <c r="JXI264" s="305"/>
      <c r="JXM264" s="305"/>
      <c r="JXQ264" s="305"/>
      <c r="JXU264" s="305"/>
      <c r="JXY264" s="305"/>
      <c r="JYC264" s="305"/>
      <c r="JYG264" s="305"/>
      <c r="JYK264" s="305"/>
      <c r="JYO264" s="305"/>
      <c r="JYS264" s="305"/>
      <c r="JYW264" s="305"/>
      <c r="JZA264" s="305"/>
      <c r="JZE264" s="305"/>
      <c r="JZI264" s="305"/>
      <c r="JZM264" s="305"/>
      <c r="JZQ264" s="305"/>
      <c r="JZU264" s="305"/>
      <c r="JZY264" s="305"/>
      <c r="KAC264" s="305"/>
      <c r="KAG264" s="305"/>
      <c r="KAK264" s="305"/>
      <c r="KAO264" s="305"/>
      <c r="KAS264" s="305"/>
      <c r="KAW264" s="305"/>
      <c r="KBA264" s="305"/>
      <c r="KBE264" s="305"/>
      <c r="KBI264" s="305"/>
      <c r="KBM264" s="305"/>
      <c r="KBQ264" s="305"/>
      <c r="KBU264" s="305"/>
      <c r="KBY264" s="305"/>
      <c r="KCC264" s="305"/>
      <c r="KCG264" s="305"/>
      <c r="KCK264" s="305"/>
      <c r="KCO264" s="305"/>
      <c r="KCS264" s="305"/>
      <c r="KCW264" s="305"/>
      <c r="KDA264" s="305"/>
      <c r="KDE264" s="305"/>
      <c r="KDI264" s="305"/>
      <c r="KDM264" s="305"/>
      <c r="KDQ264" s="305"/>
      <c r="KDU264" s="305"/>
      <c r="KDY264" s="305"/>
      <c r="KEC264" s="305"/>
      <c r="KEG264" s="305"/>
      <c r="KEK264" s="305"/>
      <c r="KEO264" s="305"/>
      <c r="KES264" s="305"/>
      <c r="KEW264" s="305"/>
      <c r="KFA264" s="305"/>
      <c r="KFE264" s="305"/>
      <c r="KFI264" s="305"/>
      <c r="KFM264" s="305"/>
      <c r="KFQ264" s="305"/>
      <c r="KFU264" s="305"/>
      <c r="KFY264" s="305"/>
      <c r="KGC264" s="305"/>
      <c r="KGG264" s="305"/>
      <c r="KGK264" s="305"/>
      <c r="KGO264" s="305"/>
      <c r="KGS264" s="305"/>
      <c r="KGW264" s="305"/>
      <c r="KHA264" s="305"/>
      <c r="KHE264" s="305"/>
      <c r="KHI264" s="305"/>
      <c r="KHM264" s="305"/>
      <c r="KHQ264" s="305"/>
      <c r="KHU264" s="305"/>
      <c r="KHY264" s="305"/>
      <c r="KIC264" s="305"/>
      <c r="KIG264" s="305"/>
      <c r="KIK264" s="305"/>
      <c r="KIO264" s="305"/>
      <c r="KIS264" s="305"/>
      <c r="KIW264" s="305"/>
      <c r="KJA264" s="305"/>
      <c r="KJE264" s="305"/>
      <c r="KJI264" s="305"/>
      <c r="KJM264" s="305"/>
      <c r="KJQ264" s="305"/>
      <c r="KJU264" s="305"/>
      <c r="KJY264" s="305"/>
      <c r="KKC264" s="305"/>
      <c r="KKG264" s="305"/>
      <c r="KKK264" s="305"/>
      <c r="KKO264" s="305"/>
      <c r="KKS264" s="305"/>
      <c r="KKW264" s="305"/>
      <c r="KLA264" s="305"/>
      <c r="KLE264" s="305"/>
      <c r="KLI264" s="305"/>
      <c r="KLM264" s="305"/>
      <c r="KLQ264" s="305"/>
      <c r="KLU264" s="305"/>
      <c r="KLY264" s="305"/>
      <c r="KMC264" s="305"/>
      <c r="KMG264" s="305"/>
      <c r="KMK264" s="305"/>
      <c r="KMO264" s="305"/>
      <c r="KMS264" s="305"/>
      <c r="KMW264" s="305"/>
      <c r="KNA264" s="305"/>
      <c r="KNE264" s="305"/>
      <c r="KNI264" s="305"/>
      <c r="KNM264" s="305"/>
      <c r="KNQ264" s="305"/>
      <c r="KNU264" s="305"/>
      <c r="KNY264" s="305"/>
      <c r="KOC264" s="305"/>
      <c r="KOG264" s="305"/>
      <c r="KOK264" s="305"/>
      <c r="KOO264" s="305"/>
      <c r="KOS264" s="305"/>
      <c r="KOW264" s="305"/>
      <c r="KPA264" s="305"/>
      <c r="KPE264" s="305"/>
      <c r="KPI264" s="305"/>
      <c r="KPM264" s="305"/>
      <c r="KPQ264" s="305"/>
      <c r="KPU264" s="305"/>
      <c r="KPY264" s="305"/>
      <c r="KQC264" s="305"/>
      <c r="KQG264" s="305"/>
      <c r="KQK264" s="305"/>
      <c r="KQO264" s="305"/>
      <c r="KQS264" s="305"/>
      <c r="KQW264" s="305"/>
      <c r="KRA264" s="305"/>
      <c r="KRE264" s="305"/>
      <c r="KRI264" s="305"/>
      <c r="KRM264" s="305"/>
      <c r="KRQ264" s="305"/>
      <c r="KRU264" s="305"/>
      <c r="KRY264" s="305"/>
      <c r="KSC264" s="305"/>
      <c r="KSG264" s="305"/>
      <c r="KSK264" s="305"/>
      <c r="KSO264" s="305"/>
      <c r="KSS264" s="305"/>
      <c r="KSW264" s="305"/>
      <c r="KTA264" s="305"/>
      <c r="KTE264" s="305"/>
      <c r="KTI264" s="305"/>
      <c r="KTM264" s="305"/>
      <c r="KTQ264" s="305"/>
      <c r="KTU264" s="305"/>
      <c r="KTY264" s="305"/>
      <c r="KUC264" s="305"/>
      <c r="KUG264" s="305"/>
      <c r="KUK264" s="305"/>
      <c r="KUO264" s="305"/>
      <c r="KUS264" s="305"/>
      <c r="KUW264" s="305"/>
      <c r="KVA264" s="305"/>
      <c r="KVE264" s="305"/>
      <c r="KVI264" s="305"/>
      <c r="KVM264" s="305"/>
      <c r="KVQ264" s="305"/>
      <c r="KVU264" s="305"/>
      <c r="KVY264" s="305"/>
      <c r="KWC264" s="305"/>
      <c r="KWG264" s="305"/>
      <c r="KWK264" s="305"/>
      <c r="KWO264" s="305"/>
      <c r="KWS264" s="305"/>
      <c r="KWW264" s="305"/>
      <c r="KXA264" s="305"/>
      <c r="KXE264" s="305"/>
      <c r="KXI264" s="305"/>
      <c r="KXM264" s="305"/>
      <c r="KXQ264" s="305"/>
      <c r="KXU264" s="305"/>
      <c r="KXY264" s="305"/>
      <c r="KYC264" s="305"/>
      <c r="KYG264" s="305"/>
      <c r="KYK264" s="305"/>
      <c r="KYO264" s="305"/>
      <c r="KYS264" s="305"/>
      <c r="KYW264" s="305"/>
      <c r="KZA264" s="305"/>
      <c r="KZE264" s="305"/>
      <c r="KZI264" s="305"/>
      <c r="KZM264" s="305"/>
      <c r="KZQ264" s="305"/>
      <c r="KZU264" s="305"/>
      <c r="KZY264" s="305"/>
      <c r="LAC264" s="305"/>
      <c r="LAG264" s="305"/>
      <c r="LAK264" s="305"/>
      <c r="LAO264" s="305"/>
      <c r="LAS264" s="305"/>
      <c r="LAW264" s="305"/>
      <c r="LBA264" s="305"/>
      <c r="LBE264" s="305"/>
      <c r="LBI264" s="305"/>
      <c r="LBM264" s="305"/>
      <c r="LBQ264" s="305"/>
      <c r="LBU264" s="305"/>
      <c r="LBY264" s="305"/>
      <c r="LCC264" s="305"/>
      <c r="LCG264" s="305"/>
      <c r="LCK264" s="305"/>
      <c r="LCO264" s="305"/>
      <c r="LCS264" s="305"/>
      <c r="LCW264" s="305"/>
      <c r="LDA264" s="305"/>
      <c r="LDE264" s="305"/>
      <c r="LDI264" s="305"/>
      <c r="LDM264" s="305"/>
      <c r="LDQ264" s="305"/>
      <c r="LDU264" s="305"/>
      <c r="LDY264" s="305"/>
      <c r="LEC264" s="305"/>
      <c r="LEG264" s="305"/>
      <c r="LEK264" s="305"/>
      <c r="LEO264" s="305"/>
      <c r="LES264" s="305"/>
      <c r="LEW264" s="305"/>
      <c r="LFA264" s="305"/>
      <c r="LFE264" s="305"/>
      <c r="LFI264" s="305"/>
      <c r="LFM264" s="305"/>
      <c r="LFQ264" s="305"/>
      <c r="LFU264" s="305"/>
      <c r="LFY264" s="305"/>
      <c r="LGC264" s="305"/>
      <c r="LGG264" s="305"/>
      <c r="LGK264" s="305"/>
      <c r="LGO264" s="305"/>
      <c r="LGS264" s="305"/>
      <c r="LGW264" s="305"/>
      <c r="LHA264" s="305"/>
      <c r="LHE264" s="305"/>
      <c r="LHI264" s="305"/>
      <c r="LHM264" s="305"/>
      <c r="LHQ264" s="305"/>
      <c r="LHU264" s="305"/>
      <c r="LHY264" s="305"/>
      <c r="LIC264" s="305"/>
      <c r="LIG264" s="305"/>
      <c r="LIK264" s="305"/>
      <c r="LIO264" s="305"/>
      <c r="LIS264" s="305"/>
      <c r="LIW264" s="305"/>
      <c r="LJA264" s="305"/>
      <c r="LJE264" s="305"/>
      <c r="LJI264" s="305"/>
      <c r="LJM264" s="305"/>
      <c r="LJQ264" s="305"/>
      <c r="LJU264" s="305"/>
      <c r="LJY264" s="305"/>
      <c r="LKC264" s="305"/>
      <c r="LKG264" s="305"/>
      <c r="LKK264" s="305"/>
      <c r="LKO264" s="305"/>
      <c r="LKS264" s="305"/>
      <c r="LKW264" s="305"/>
      <c r="LLA264" s="305"/>
      <c r="LLE264" s="305"/>
      <c r="LLI264" s="305"/>
      <c r="LLM264" s="305"/>
      <c r="LLQ264" s="305"/>
      <c r="LLU264" s="305"/>
      <c r="LLY264" s="305"/>
      <c r="LMC264" s="305"/>
      <c r="LMG264" s="305"/>
      <c r="LMK264" s="305"/>
      <c r="LMO264" s="305"/>
      <c r="LMS264" s="305"/>
      <c r="LMW264" s="305"/>
      <c r="LNA264" s="305"/>
      <c r="LNE264" s="305"/>
      <c r="LNI264" s="305"/>
      <c r="LNM264" s="305"/>
      <c r="LNQ264" s="305"/>
      <c r="LNU264" s="305"/>
      <c r="LNY264" s="305"/>
      <c r="LOC264" s="305"/>
      <c r="LOG264" s="305"/>
      <c r="LOK264" s="305"/>
      <c r="LOO264" s="305"/>
      <c r="LOS264" s="305"/>
      <c r="LOW264" s="305"/>
      <c r="LPA264" s="305"/>
      <c r="LPE264" s="305"/>
      <c r="LPI264" s="305"/>
      <c r="LPM264" s="305"/>
      <c r="LPQ264" s="305"/>
      <c r="LPU264" s="305"/>
      <c r="LPY264" s="305"/>
      <c r="LQC264" s="305"/>
      <c r="LQG264" s="305"/>
      <c r="LQK264" s="305"/>
      <c r="LQO264" s="305"/>
      <c r="LQS264" s="305"/>
      <c r="LQW264" s="305"/>
      <c r="LRA264" s="305"/>
      <c r="LRE264" s="305"/>
      <c r="LRI264" s="305"/>
      <c r="LRM264" s="305"/>
      <c r="LRQ264" s="305"/>
      <c r="LRU264" s="305"/>
      <c r="LRY264" s="305"/>
      <c r="LSC264" s="305"/>
      <c r="LSG264" s="305"/>
      <c r="LSK264" s="305"/>
      <c r="LSO264" s="305"/>
      <c r="LSS264" s="305"/>
      <c r="LSW264" s="305"/>
      <c r="LTA264" s="305"/>
      <c r="LTE264" s="305"/>
      <c r="LTI264" s="305"/>
      <c r="LTM264" s="305"/>
      <c r="LTQ264" s="305"/>
      <c r="LTU264" s="305"/>
      <c r="LTY264" s="305"/>
      <c r="LUC264" s="305"/>
      <c r="LUG264" s="305"/>
      <c r="LUK264" s="305"/>
      <c r="LUO264" s="305"/>
      <c r="LUS264" s="305"/>
      <c r="LUW264" s="305"/>
      <c r="LVA264" s="305"/>
      <c r="LVE264" s="305"/>
      <c r="LVI264" s="305"/>
      <c r="LVM264" s="305"/>
      <c r="LVQ264" s="305"/>
      <c r="LVU264" s="305"/>
      <c r="LVY264" s="305"/>
      <c r="LWC264" s="305"/>
      <c r="LWG264" s="305"/>
      <c r="LWK264" s="305"/>
      <c r="LWO264" s="305"/>
      <c r="LWS264" s="305"/>
      <c r="LWW264" s="305"/>
      <c r="LXA264" s="305"/>
      <c r="LXE264" s="305"/>
      <c r="LXI264" s="305"/>
      <c r="LXM264" s="305"/>
      <c r="LXQ264" s="305"/>
      <c r="LXU264" s="305"/>
      <c r="LXY264" s="305"/>
      <c r="LYC264" s="305"/>
      <c r="LYG264" s="305"/>
      <c r="LYK264" s="305"/>
      <c r="LYO264" s="305"/>
      <c r="LYS264" s="305"/>
      <c r="LYW264" s="305"/>
      <c r="LZA264" s="305"/>
      <c r="LZE264" s="305"/>
      <c r="LZI264" s="305"/>
      <c r="LZM264" s="305"/>
      <c r="LZQ264" s="305"/>
      <c r="LZU264" s="305"/>
      <c r="LZY264" s="305"/>
      <c r="MAC264" s="305"/>
      <c r="MAG264" s="305"/>
      <c r="MAK264" s="305"/>
      <c r="MAO264" s="305"/>
      <c r="MAS264" s="305"/>
      <c r="MAW264" s="305"/>
      <c r="MBA264" s="305"/>
      <c r="MBE264" s="305"/>
      <c r="MBI264" s="305"/>
      <c r="MBM264" s="305"/>
      <c r="MBQ264" s="305"/>
      <c r="MBU264" s="305"/>
      <c r="MBY264" s="305"/>
      <c r="MCC264" s="305"/>
      <c r="MCG264" s="305"/>
      <c r="MCK264" s="305"/>
      <c r="MCO264" s="305"/>
      <c r="MCS264" s="305"/>
      <c r="MCW264" s="305"/>
      <c r="MDA264" s="305"/>
      <c r="MDE264" s="305"/>
      <c r="MDI264" s="305"/>
      <c r="MDM264" s="305"/>
      <c r="MDQ264" s="305"/>
      <c r="MDU264" s="305"/>
      <c r="MDY264" s="305"/>
      <c r="MEC264" s="305"/>
      <c r="MEG264" s="305"/>
      <c r="MEK264" s="305"/>
      <c r="MEO264" s="305"/>
      <c r="MES264" s="305"/>
      <c r="MEW264" s="305"/>
      <c r="MFA264" s="305"/>
      <c r="MFE264" s="305"/>
      <c r="MFI264" s="305"/>
      <c r="MFM264" s="305"/>
      <c r="MFQ264" s="305"/>
      <c r="MFU264" s="305"/>
      <c r="MFY264" s="305"/>
      <c r="MGC264" s="305"/>
      <c r="MGG264" s="305"/>
      <c r="MGK264" s="305"/>
      <c r="MGO264" s="305"/>
      <c r="MGS264" s="305"/>
      <c r="MGW264" s="305"/>
      <c r="MHA264" s="305"/>
      <c r="MHE264" s="305"/>
      <c r="MHI264" s="305"/>
      <c r="MHM264" s="305"/>
      <c r="MHQ264" s="305"/>
      <c r="MHU264" s="305"/>
      <c r="MHY264" s="305"/>
      <c r="MIC264" s="305"/>
      <c r="MIG264" s="305"/>
      <c r="MIK264" s="305"/>
      <c r="MIO264" s="305"/>
      <c r="MIS264" s="305"/>
      <c r="MIW264" s="305"/>
      <c r="MJA264" s="305"/>
      <c r="MJE264" s="305"/>
      <c r="MJI264" s="305"/>
      <c r="MJM264" s="305"/>
      <c r="MJQ264" s="305"/>
      <c r="MJU264" s="305"/>
      <c r="MJY264" s="305"/>
      <c r="MKC264" s="305"/>
      <c r="MKG264" s="305"/>
      <c r="MKK264" s="305"/>
      <c r="MKO264" s="305"/>
      <c r="MKS264" s="305"/>
      <c r="MKW264" s="305"/>
      <c r="MLA264" s="305"/>
      <c r="MLE264" s="305"/>
      <c r="MLI264" s="305"/>
      <c r="MLM264" s="305"/>
      <c r="MLQ264" s="305"/>
      <c r="MLU264" s="305"/>
      <c r="MLY264" s="305"/>
      <c r="MMC264" s="305"/>
      <c r="MMG264" s="305"/>
      <c r="MMK264" s="305"/>
      <c r="MMO264" s="305"/>
      <c r="MMS264" s="305"/>
      <c r="MMW264" s="305"/>
      <c r="MNA264" s="305"/>
      <c r="MNE264" s="305"/>
      <c r="MNI264" s="305"/>
      <c r="MNM264" s="305"/>
      <c r="MNQ264" s="305"/>
      <c r="MNU264" s="305"/>
      <c r="MNY264" s="305"/>
      <c r="MOC264" s="305"/>
      <c r="MOG264" s="305"/>
      <c r="MOK264" s="305"/>
      <c r="MOO264" s="305"/>
      <c r="MOS264" s="305"/>
      <c r="MOW264" s="305"/>
      <c r="MPA264" s="305"/>
      <c r="MPE264" s="305"/>
      <c r="MPI264" s="305"/>
      <c r="MPM264" s="305"/>
      <c r="MPQ264" s="305"/>
      <c r="MPU264" s="305"/>
      <c r="MPY264" s="305"/>
      <c r="MQC264" s="305"/>
      <c r="MQG264" s="305"/>
      <c r="MQK264" s="305"/>
      <c r="MQO264" s="305"/>
      <c r="MQS264" s="305"/>
      <c r="MQW264" s="305"/>
      <c r="MRA264" s="305"/>
      <c r="MRE264" s="305"/>
      <c r="MRI264" s="305"/>
      <c r="MRM264" s="305"/>
      <c r="MRQ264" s="305"/>
      <c r="MRU264" s="305"/>
      <c r="MRY264" s="305"/>
      <c r="MSC264" s="305"/>
      <c r="MSG264" s="305"/>
      <c r="MSK264" s="305"/>
      <c r="MSO264" s="305"/>
      <c r="MSS264" s="305"/>
      <c r="MSW264" s="305"/>
      <c r="MTA264" s="305"/>
      <c r="MTE264" s="305"/>
      <c r="MTI264" s="305"/>
      <c r="MTM264" s="305"/>
      <c r="MTQ264" s="305"/>
      <c r="MTU264" s="305"/>
      <c r="MTY264" s="305"/>
      <c r="MUC264" s="305"/>
      <c r="MUG264" s="305"/>
      <c r="MUK264" s="305"/>
      <c r="MUO264" s="305"/>
      <c r="MUS264" s="305"/>
      <c r="MUW264" s="305"/>
      <c r="MVA264" s="305"/>
      <c r="MVE264" s="305"/>
      <c r="MVI264" s="305"/>
      <c r="MVM264" s="305"/>
      <c r="MVQ264" s="305"/>
      <c r="MVU264" s="305"/>
      <c r="MVY264" s="305"/>
      <c r="MWC264" s="305"/>
      <c r="MWG264" s="305"/>
      <c r="MWK264" s="305"/>
      <c r="MWO264" s="305"/>
      <c r="MWS264" s="305"/>
      <c r="MWW264" s="305"/>
      <c r="MXA264" s="305"/>
      <c r="MXE264" s="305"/>
      <c r="MXI264" s="305"/>
      <c r="MXM264" s="305"/>
      <c r="MXQ264" s="305"/>
      <c r="MXU264" s="305"/>
      <c r="MXY264" s="305"/>
      <c r="MYC264" s="305"/>
      <c r="MYG264" s="305"/>
      <c r="MYK264" s="305"/>
      <c r="MYO264" s="305"/>
      <c r="MYS264" s="305"/>
      <c r="MYW264" s="305"/>
      <c r="MZA264" s="305"/>
      <c r="MZE264" s="305"/>
      <c r="MZI264" s="305"/>
      <c r="MZM264" s="305"/>
      <c r="MZQ264" s="305"/>
      <c r="MZU264" s="305"/>
      <c r="MZY264" s="305"/>
      <c r="NAC264" s="305"/>
      <c r="NAG264" s="305"/>
      <c r="NAK264" s="305"/>
      <c r="NAO264" s="305"/>
      <c r="NAS264" s="305"/>
      <c r="NAW264" s="305"/>
      <c r="NBA264" s="305"/>
      <c r="NBE264" s="305"/>
      <c r="NBI264" s="305"/>
      <c r="NBM264" s="305"/>
      <c r="NBQ264" s="305"/>
      <c r="NBU264" s="305"/>
      <c r="NBY264" s="305"/>
      <c r="NCC264" s="305"/>
      <c r="NCG264" s="305"/>
      <c r="NCK264" s="305"/>
      <c r="NCO264" s="305"/>
      <c r="NCS264" s="305"/>
      <c r="NCW264" s="305"/>
      <c r="NDA264" s="305"/>
      <c r="NDE264" s="305"/>
      <c r="NDI264" s="305"/>
      <c r="NDM264" s="305"/>
      <c r="NDQ264" s="305"/>
      <c r="NDU264" s="305"/>
      <c r="NDY264" s="305"/>
      <c r="NEC264" s="305"/>
      <c r="NEG264" s="305"/>
      <c r="NEK264" s="305"/>
      <c r="NEO264" s="305"/>
      <c r="NES264" s="305"/>
      <c r="NEW264" s="305"/>
      <c r="NFA264" s="305"/>
      <c r="NFE264" s="305"/>
      <c r="NFI264" s="305"/>
      <c r="NFM264" s="305"/>
      <c r="NFQ264" s="305"/>
      <c r="NFU264" s="305"/>
      <c r="NFY264" s="305"/>
      <c r="NGC264" s="305"/>
      <c r="NGG264" s="305"/>
      <c r="NGK264" s="305"/>
      <c r="NGO264" s="305"/>
      <c r="NGS264" s="305"/>
      <c r="NGW264" s="305"/>
      <c r="NHA264" s="305"/>
      <c r="NHE264" s="305"/>
      <c r="NHI264" s="305"/>
      <c r="NHM264" s="305"/>
      <c r="NHQ264" s="305"/>
      <c r="NHU264" s="305"/>
      <c r="NHY264" s="305"/>
      <c r="NIC264" s="305"/>
      <c r="NIG264" s="305"/>
      <c r="NIK264" s="305"/>
      <c r="NIO264" s="305"/>
      <c r="NIS264" s="305"/>
      <c r="NIW264" s="305"/>
      <c r="NJA264" s="305"/>
      <c r="NJE264" s="305"/>
      <c r="NJI264" s="305"/>
      <c r="NJM264" s="305"/>
      <c r="NJQ264" s="305"/>
      <c r="NJU264" s="305"/>
      <c r="NJY264" s="305"/>
      <c r="NKC264" s="305"/>
      <c r="NKG264" s="305"/>
      <c r="NKK264" s="305"/>
      <c r="NKO264" s="305"/>
      <c r="NKS264" s="305"/>
      <c r="NKW264" s="305"/>
      <c r="NLA264" s="305"/>
      <c r="NLE264" s="305"/>
      <c r="NLI264" s="305"/>
      <c r="NLM264" s="305"/>
      <c r="NLQ264" s="305"/>
      <c r="NLU264" s="305"/>
      <c r="NLY264" s="305"/>
      <c r="NMC264" s="305"/>
      <c r="NMG264" s="305"/>
      <c r="NMK264" s="305"/>
      <c r="NMO264" s="305"/>
      <c r="NMS264" s="305"/>
      <c r="NMW264" s="305"/>
      <c r="NNA264" s="305"/>
      <c r="NNE264" s="305"/>
      <c r="NNI264" s="305"/>
      <c r="NNM264" s="305"/>
      <c r="NNQ264" s="305"/>
      <c r="NNU264" s="305"/>
      <c r="NNY264" s="305"/>
      <c r="NOC264" s="305"/>
      <c r="NOG264" s="305"/>
      <c r="NOK264" s="305"/>
      <c r="NOO264" s="305"/>
      <c r="NOS264" s="305"/>
      <c r="NOW264" s="305"/>
      <c r="NPA264" s="305"/>
      <c r="NPE264" s="305"/>
      <c r="NPI264" s="305"/>
      <c r="NPM264" s="305"/>
      <c r="NPQ264" s="305"/>
      <c r="NPU264" s="305"/>
      <c r="NPY264" s="305"/>
      <c r="NQC264" s="305"/>
      <c r="NQG264" s="305"/>
      <c r="NQK264" s="305"/>
      <c r="NQO264" s="305"/>
      <c r="NQS264" s="305"/>
      <c r="NQW264" s="305"/>
      <c r="NRA264" s="305"/>
      <c r="NRE264" s="305"/>
      <c r="NRI264" s="305"/>
      <c r="NRM264" s="305"/>
      <c r="NRQ264" s="305"/>
      <c r="NRU264" s="305"/>
      <c r="NRY264" s="305"/>
      <c r="NSC264" s="305"/>
      <c r="NSG264" s="305"/>
      <c r="NSK264" s="305"/>
      <c r="NSO264" s="305"/>
      <c r="NSS264" s="305"/>
      <c r="NSW264" s="305"/>
      <c r="NTA264" s="305"/>
      <c r="NTE264" s="305"/>
      <c r="NTI264" s="305"/>
      <c r="NTM264" s="305"/>
      <c r="NTQ264" s="305"/>
      <c r="NTU264" s="305"/>
      <c r="NTY264" s="305"/>
      <c r="NUC264" s="305"/>
      <c r="NUG264" s="305"/>
      <c r="NUK264" s="305"/>
      <c r="NUO264" s="305"/>
      <c r="NUS264" s="305"/>
      <c r="NUW264" s="305"/>
      <c r="NVA264" s="305"/>
      <c r="NVE264" s="305"/>
      <c r="NVI264" s="305"/>
      <c r="NVM264" s="305"/>
      <c r="NVQ264" s="305"/>
      <c r="NVU264" s="305"/>
      <c r="NVY264" s="305"/>
      <c r="NWC264" s="305"/>
      <c r="NWG264" s="305"/>
      <c r="NWK264" s="305"/>
      <c r="NWO264" s="305"/>
      <c r="NWS264" s="305"/>
      <c r="NWW264" s="305"/>
      <c r="NXA264" s="305"/>
      <c r="NXE264" s="305"/>
      <c r="NXI264" s="305"/>
      <c r="NXM264" s="305"/>
      <c r="NXQ264" s="305"/>
      <c r="NXU264" s="305"/>
      <c r="NXY264" s="305"/>
      <c r="NYC264" s="305"/>
      <c r="NYG264" s="305"/>
      <c r="NYK264" s="305"/>
      <c r="NYO264" s="305"/>
      <c r="NYS264" s="305"/>
      <c r="NYW264" s="305"/>
      <c r="NZA264" s="305"/>
      <c r="NZE264" s="305"/>
      <c r="NZI264" s="305"/>
      <c r="NZM264" s="305"/>
      <c r="NZQ264" s="305"/>
      <c r="NZU264" s="305"/>
      <c r="NZY264" s="305"/>
      <c r="OAC264" s="305"/>
      <c r="OAG264" s="305"/>
      <c r="OAK264" s="305"/>
      <c r="OAO264" s="305"/>
      <c r="OAS264" s="305"/>
      <c r="OAW264" s="305"/>
      <c r="OBA264" s="305"/>
      <c r="OBE264" s="305"/>
      <c r="OBI264" s="305"/>
      <c r="OBM264" s="305"/>
      <c r="OBQ264" s="305"/>
      <c r="OBU264" s="305"/>
      <c r="OBY264" s="305"/>
      <c r="OCC264" s="305"/>
      <c r="OCG264" s="305"/>
      <c r="OCK264" s="305"/>
      <c r="OCO264" s="305"/>
      <c r="OCS264" s="305"/>
      <c r="OCW264" s="305"/>
      <c r="ODA264" s="305"/>
      <c r="ODE264" s="305"/>
      <c r="ODI264" s="305"/>
      <c r="ODM264" s="305"/>
      <c r="ODQ264" s="305"/>
      <c r="ODU264" s="305"/>
      <c r="ODY264" s="305"/>
      <c r="OEC264" s="305"/>
      <c r="OEG264" s="305"/>
      <c r="OEK264" s="305"/>
      <c r="OEO264" s="305"/>
      <c r="OES264" s="305"/>
      <c r="OEW264" s="305"/>
      <c r="OFA264" s="305"/>
      <c r="OFE264" s="305"/>
      <c r="OFI264" s="305"/>
      <c r="OFM264" s="305"/>
      <c r="OFQ264" s="305"/>
      <c r="OFU264" s="305"/>
      <c r="OFY264" s="305"/>
      <c r="OGC264" s="305"/>
      <c r="OGG264" s="305"/>
      <c r="OGK264" s="305"/>
      <c r="OGO264" s="305"/>
      <c r="OGS264" s="305"/>
      <c r="OGW264" s="305"/>
      <c r="OHA264" s="305"/>
      <c r="OHE264" s="305"/>
      <c r="OHI264" s="305"/>
      <c r="OHM264" s="305"/>
      <c r="OHQ264" s="305"/>
      <c r="OHU264" s="305"/>
      <c r="OHY264" s="305"/>
      <c r="OIC264" s="305"/>
      <c r="OIG264" s="305"/>
      <c r="OIK264" s="305"/>
      <c r="OIO264" s="305"/>
      <c r="OIS264" s="305"/>
      <c r="OIW264" s="305"/>
      <c r="OJA264" s="305"/>
      <c r="OJE264" s="305"/>
      <c r="OJI264" s="305"/>
      <c r="OJM264" s="305"/>
      <c r="OJQ264" s="305"/>
      <c r="OJU264" s="305"/>
      <c r="OJY264" s="305"/>
      <c r="OKC264" s="305"/>
      <c r="OKG264" s="305"/>
      <c r="OKK264" s="305"/>
      <c r="OKO264" s="305"/>
      <c r="OKS264" s="305"/>
      <c r="OKW264" s="305"/>
      <c r="OLA264" s="305"/>
      <c r="OLE264" s="305"/>
      <c r="OLI264" s="305"/>
      <c r="OLM264" s="305"/>
      <c r="OLQ264" s="305"/>
      <c r="OLU264" s="305"/>
      <c r="OLY264" s="305"/>
      <c r="OMC264" s="305"/>
      <c r="OMG264" s="305"/>
      <c r="OMK264" s="305"/>
      <c r="OMO264" s="305"/>
      <c r="OMS264" s="305"/>
      <c r="OMW264" s="305"/>
      <c r="ONA264" s="305"/>
      <c r="ONE264" s="305"/>
      <c r="ONI264" s="305"/>
      <c r="ONM264" s="305"/>
      <c r="ONQ264" s="305"/>
      <c r="ONU264" s="305"/>
      <c r="ONY264" s="305"/>
      <c r="OOC264" s="305"/>
      <c r="OOG264" s="305"/>
      <c r="OOK264" s="305"/>
      <c r="OOO264" s="305"/>
      <c r="OOS264" s="305"/>
      <c r="OOW264" s="305"/>
      <c r="OPA264" s="305"/>
      <c r="OPE264" s="305"/>
      <c r="OPI264" s="305"/>
      <c r="OPM264" s="305"/>
      <c r="OPQ264" s="305"/>
      <c r="OPU264" s="305"/>
      <c r="OPY264" s="305"/>
      <c r="OQC264" s="305"/>
      <c r="OQG264" s="305"/>
      <c r="OQK264" s="305"/>
      <c r="OQO264" s="305"/>
      <c r="OQS264" s="305"/>
      <c r="OQW264" s="305"/>
      <c r="ORA264" s="305"/>
      <c r="ORE264" s="305"/>
      <c r="ORI264" s="305"/>
      <c r="ORM264" s="305"/>
      <c r="ORQ264" s="305"/>
      <c r="ORU264" s="305"/>
      <c r="ORY264" s="305"/>
      <c r="OSC264" s="305"/>
      <c r="OSG264" s="305"/>
      <c r="OSK264" s="305"/>
      <c r="OSO264" s="305"/>
      <c r="OSS264" s="305"/>
      <c r="OSW264" s="305"/>
      <c r="OTA264" s="305"/>
      <c r="OTE264" s="305"/>
      <c r="OTI264" s="305"/>
      <c r="OTM264" s="305"/>
      <c r="OTQ264" s="305"/>
      <c r="OTU264" s="305"/>
      <c r="OTY264" s="305"/>
      <c r="OUC264" s="305"/>
      <c r="OUG264" s="305"/>
      <c r="OUK264" s="305"/>
      <c r="OUO264" s="305"/>
      <c r="OUS264" s="305"/>
      <c r="OUW264" s="305"/>
      <c r="OVA264" s="305"/>
      <c r="OVE264" s="305"/>
      <c r="OVI264" s="305"/>
      <c r="OVM264" s="305"/>
      <c r="OVQ264" s="305"/>
      <c r="OVU264" s="305"/>
      <c r="OVY264" s="305"/>
      <c r="OWC264" s="305"/>
      <c r="OWG264" s="305"/>
      <c r="OWK264" s="305"/>
      <c r="OWO264" s="305"/>
      <c r="OWS264" s="305"/>
      <c r="OWW264" s="305"/>
      <c r="OXA264" s="305"/>
      <c r="OXE264" s="305"/>
      <c r="OXI264" s="305"/>
      <c r="OXM264" s="305"/>
      <c r="OXQ264" s="305"/>
      <c r="OXU264" s="305"/>
      <c r="OXY264" s="305"/>
      <c r="OYC264" s="305"/>
      <c r="OYG264" s="305"/>
      <c r="OYK264" s="305"/>
      <c r="OYO264" s="305"/>
      <c r="OYS264" s="305"/>
      <c r="OYW264" s="305"/>
      <c r="OZA264" s="305"/>
      <c r="OZE264" s="305"/>
      <c r="OZI264" s="305"/>
      <c r="OZM264" s="305"/>
      <c r="OZQ264" s="305"/>
      <c r="OZU264" s="305"/>
      <c r="OZY264" s="305"/>
      <c r="PAC264" s="305"/>
      <c r="PAG264" s="305"/>
      <c r="PAK264" s="305"/>
      <c r="PAO264" s="305"/>
      <c r="PAS264" s="305"/>
      <c r="PAW264" s="305"/>
      <c r="PBA264" s="305"/>
      <c r="PBE264" s="305"/>
      <c r="PBI264" s="305"/>
      <c r="PBM264" s="305"/>
      <c r="PBQ264" s="305"/>
      <c r="PBU264" s="305"/>
      <c r="PBY264" s="305"/>
      <c r="PCC264" s="305"/>
      <c r="PCG264" s="305"/>
      <c r="PCK264" s="305"/>
      <c r="PCO264" s="305"/>
      <c r="PCS264" s="305"/>
      <c r="PCW264" s="305"/>
      <c r="PDA264" s="305"/>
      <c r="PDE264" s="305"/>
      <c r="PDI264" s="305"/>
      <c r="PDM264" s="305"/>
      <c r="PDQ264" s="305"/>
      <c r="PDU264" s="305"/>
      <c r="PDY264" s="305"/>
      <c r="PEC264" s="305"/>
      <c r="PEG264" s="305"/>
      <c r="PEK264" s="305"/>
      <c r="PEO264" s="305"/>
      <c r="PES264" s="305"/>
      <c r="PEW264" s="305"/>
      <c r="PFA264" s="305"/>
      <c r="PFE264" s="305"/>
      <c r="PFI264" s="305"/>
      <c r="PFM264" s="305"/>
      <c r="PFQ264" s="305"/>
      <c r="PFU264" s="305"/>
      <c r="PFY264" s="305"/>
      <c r="PGC264" s="305"/>
      <c r="PGG264" s="305"/>
      <c r="PGK264" s="305"/>
      <c r="PGO264" s="305"/>
      <c r="PGS264" s="305"/>
      <c r="PGW264" s="305"/>
      <c r="PHA264" s="305"/>
      <c r="PHE264" s="305"/>
      <c r="PHI264" s="305"/>
      <c r="PHM264" s="305"/>
      <c r="PHQ264" s="305"/>
      <c r="PHU264" s="305"/>
      <c r="PHY264" s="305"/>
      <c r="PIC264" s="305"/>
      <c r="PIG264" s="305"/>
      <c r="PIK264" s="305"/>
      <c r="PIO264" s="305"/>
      <c r="PIS264" s="305"/>
      <c r="PIW264" s="305"/>
      <c r="PJA264" s="305"/>
      <c r="PJE264" s="305"/>
      <c r="PJI264" s="305"/>
      <c r="PJM264" s="305"/>
      <c r="PJQ264" s="305"/>
      <c r="PJU264" s="305"/>
      <c r="PJY264" s="305"/>
      <c r="PKC264" s="305"/>
      <c r="PKG264" s="305"/>
      <c r="PKK264" s="305"/>
      <c r="PKO264" s="305"/>
      <c r="PKS264" s="305"/>
      <c r="PKW264" s="305"/>
      <c r="PLA264" s="305"/>
      <c r="PLE264" s="305"/>
      <c r="PLI264" s="305"/>
      <c r="PLM264" s="305"/>
      <c r="PLQ264" s="305"/>
      <c r="PLU264" s="305"/>
      <c r="PLY264" s="305"/>
      <c r="PMC264" s="305"/>
      <c r="PMG264" s="305"/>
      <c r="PMK264" s="305"/>
      <c r="PMO264" s="305"/>
      <c r="PMS264" s="305"/>
      <c r="PMW264" s="305"/>
      <c r="PNA264" s="305"/>
      <c r="PNE264" s="305"/>
      <c r="PNI264" s="305"/>
      <c r="PNM264" s="305"/>
      <c r="PNQ264" s="305"/>
      <c r="PNU264" s="305"/>
      <c r="PNY264" s="305"/>
      <c r="POC264" s="305"/>
      <c r="POG264" s="305"/>
      <c r="POK264" s="305"/>
      <c r="POO264" s="305"/>
      <c r="POS264" s="305"/>
      <c r="POW264" s="305"/>
      <c r="PPA264" s="305"/>
      <c r="PPE264" s="305"/>
      <c r="PPI264" s="305"/>
      <c r="PPM264" s="305"/>
      <c r="PPQ264" s="305"/>
      <c r="PPU264" s="305"/>
      <c r="PPY264" s="305"/>
      <c r="PQC264" s="305"/>
      <c r="PQG264" s="305"/>
      <c r="PQK264" s="305"/>
      <c r="PQO264" s="305"/>
      <c r="PQS264" s="305"/>
      <c r="PQW264" s="305"/>
      <c r="PRA264" s="305"/>
      <c r="PRE264" s="305"/>
      <c r="PRI264" s="305"/>
      <c r="PRM264" s="305"/>
      <c r="PRQ264" s="305"/>
      <c r="PRU264" s="305"/>
      <c r="PRY264" s="305"/>
      <c r="PSC264" s="305"/>
      <c r="PSG264" s="305"/>
      <c r="PSK264" s="305"/>
      <c r="PSO264" s="305"/>
      <c r="PSS264" s="305"/>
      <c r="PSW264" s="305"/>
      <c r="PTA264" s="305"/>
      <c r="PTE264" s="305"/>
      <c r="PTI264" s="305"/>
      <c r="PTM264" s="305"/>
      <c r="PTQ264" s="305"/>
      <c r="PTU264" s="305"/>
      <c r="PTY264" s="305"/>
      <c r="PUC264" s="305"/>
      <c r="PUG264" s="305"/>
      <c r="PUK264" s="305"/>
      <c r="PUO264" s="305"/>
      <c r="PUS264" s="305"/>
      <c r="PUW264" s="305"/>
      <c r="PVA264" s="305"/>
      <c r="PVE264" s="305"/>
      <c r="PVI264" s="305"/>
      <c r="PVM264" s="305"/>
      <c r="PVQ264" s="305"/>
      <c r="PVU264" s="305"/>
      <c r="PVY264" s="305"/>
      <c r="PWC264" s="305"/>
      <c r="PWG264" s="305"/>
      <c r="PWK264" s="305"/>
      <c r="PWO264" s="305"/>
      <c r="PWS264" s="305"/>
      <c r="PWW264" s="305"/>
      <c r="PXA264" s="305"/>
      <c r="PXE264" s="305"/>
      <c r="PXI264" s="305"/>
      <c r="PXM264" s="305"/>
      <c r="PXQ264" s="305"/>
      <c r="PXU264" s="305"/>
      <c r="PXY264" s="305"/>
      <c r="PYC264" s="305"/>
      <c r="PYG264" s="305"/>
      <c r="PYK264" s="305"/>
      <c r="PYO264" s="305"/>
      <c r="PYS264" s="305"/>
      <c r="PYW264" s="305"/>
      <c r="PZA264" s="305"/>
      <c r="PZE264" s="305"/>
      <c r="PZI264" s="305"/>
      <c r="PZM264" s="305"/>
      <c r="PZQ264" s="305"/>
      <c r="PZU264" s="305"/>
      <c r="PZY264" s="305"/>
      <c r="QAC264" s="305"/>
      <c r="QAG264" s="305"/>
      <c r="QAK264" s="305"/>
      <c r="QAO264" s="305"/>
      <c r="QAS264" s="305"/>
      <c r="QAW264" s="305"/>
      <c r="QBA264" s="305"/>
      <c r="QBE264" s="305"/>
      <c r="QBI264" s="305"/>
      <c r="QBM264" s="305"/>
      <c r="QBQ264" s="305"/>
      <c r="QBU264" s="305"/>
      <c r="QBY264" s="305"/>
      <c r="QCC264" s="305"/>
      <c r="QCG264" s="305"/>
      <c r="QCK264" s="305"/>
      <c r="QCO264" s="305"/>
      <c r="QCS264" s="305"/>
      <c r="QCW264" s="305"/>
      <c r="QDA264" s="305"/>
      <c r="QDE264" s="305"/>
      <c r="QDI264" s="305"/>
      <c r="QDM264" s="305"/>
      <c r="QDQ264" s="305"/>
      <c r="QDU264" s="305"/>
      <c r="QDY264" s="305"/>
      <c r="QEC264" s="305"/>
      <c r="QEG264" s="305"/>
      <c r="QEK264" s="305"/>
      <c r="QEO264" s="305"/>
      <c r="QES264" s="305"/>
      <c r="QEW264" s="305"/>
      <c r="QFA264" s="305"/>
      <c r="QFE264" s="305"/>
      <c r="QFI264" s="305"/>
      <c r="QFM264" s="305"/>
      <c r="QFQ264" s="305"/>
      <c r="QFU264" s="305"/>
      <c r="QFY264" s="305"/>
      <c r="QGC264" s="305"/>
      <c r="QGG264" s="305"/>
      <c r="QGK264" s="305"/>
      <c r="QGO264" s="305"/>
      <c r="QGS264" s="305"/>
      <c r="QGW264" s="305"/>
      <c r="QHA264" s="305"/>
      <c r="QHE264" s="305"/>
      <c r="QHI264" s="305"/>
      <c r="QHM264" s="305"/>
      <c r="QHQ264" s="305"/>
      <c r="QHU264" s="305"/>
      <c r="QHY264" s="305"/>
      <c r="QIC264" s="305"/>
      <c r="QIG264" s="305"/>
      <c r="QIK264" s="305"/>
      <c r="QIO264" s="305"/>
      <c r="QIS264" s="305"/>
      <c r="QIW264" s="305"/>
      <c r="QJA264" s="305"/>
      <c r="QJE264" s="305"/>
      <c r="QJI264" s="305"/>
      <c r="QJM264" s="305"/>
      <c r="QJQ264" s="305"/>
      <c r="QJU264" s="305"/>
      <c r="QJY264" s="305"/>
      <c r="QKC264" s="305"/>
      <c r="QKG264" s="305"/>
      <c r="QKK264" s="305"/>
      <c r="QKO264" s="305"/>
      <c r="QKS264" s="305"/>
      <c r="QKW264" s="305"/>
      <c r="QLA264" s="305"/>
      <c r="QLE264" s="305"/>
      <c r="QLI264" s="305"/>
      <c r="QLM264" s="305"/>
      <c r="QLQ264" s="305"/>
      <c r="QLU264" s="305"/>
      <c r="QLY264" s="305"/>
      <c r="QMC264" s="305"/>
      <c r="QMG264" s="305"/>
      <c r="QMK264" s="305"/>
      <c r="QMO264" s="305"/>
      <c r="QMS264" s="305"/>
      <c r="QMW264" s="305"/>
      <c r="QNA264" s="305"/>
      <c r="QNE264" s="305"/>
      <c r="QNI264" s="305"/>
      <c r="QNM264" s="305"/>
      <c r="QNQ264" s="305"/>
      <c r="QNU264" s="305"/>
      <c r="QNY264" s="305"/>
      <c r="QOC264" s="305"/>
      <c r="QOG264" s="305"/>
      <c r="QOK264" s="305"/>
      <c r="QOO264" s="305"/>
      <c r="QOS264" s="305"/>
      <c r="QOW264" s="305"/>
      <c r="QPA264" s="305"/>
      <c r="QPE264" s="305"/>
      <c r="QPI264" s="305"/>
      <c r="QPM264" s="305"/>
      <c r="QPQ264" s="305"/>
      <c r="QPU264" s="305"/>
      <c r="QPY264" s="305"/>
      <c r="QQC264" s="305"/>
      <c r="QQG264" s="305"/>
      <c r="QQK264" s="305"/>
      <c r="QQO264" s="305"/>
      <c r="QQS264" s="305"/>
      <c r="QQW264" s="305"/>
      <c r="QRA264" s="305"/>
      <c r="QRE264" s="305"/>
      <c r="QRI264" s="305"/>
      <c r="QRM264" s="305"/>
      <c r="QRQ264" s="305"/>
      <c r="QRU264" s="305"/>
      <c r="QRY264" s="305"/>
      <c r="QSC264" s="305"/>
      <c r="QSG264" s="305"/>
      <c r="QSK264" s="305"/>
      <c r="QSO264" s="305"/>
      <c r="QSS264" s="305"/>
      <c r="QSW264" s="305"/>
      <c r="QTA264" s="305"/>
      <c r="QTE264" s="305"/>
      <c r="QTI264" s="305"/>
      <c r="QTM264" s="305"/>
      <c r="QTQ264" s="305"/>
      <c r="QTU264" s="305"/>
      <c r="QTY264" s="305"/>
      <c r="QUC264" s="305"/>
      <c r="QUG264" s="305"/>
      <c r="QUK264" s="305"/>
      <c r="QUO264" s="305"/>
      <c r="QUS264" s="305"/>
      <c r="QUW264" s="305"/>
      <c r="QVA264" s="305"/>
      <c r="QVE264" s="305"/>
      <c r="QVI264" s="305"/>
      <c r="QVM264" s="305"/>
      <c r="QVQ264" s="305"/>
      <c r="QVU264" s="305"/>
      <c r="QVY264" s="305"/>
      <c r="QWC264" s="305"/>
      <c r="QWG264" s="305"/>
      <c r="QWK264" s="305"/>
      <c r="QWO264" s="305"/>
      <c r="QWS264" s="305"/>
      <c r="QWW264" s="305"/>
      <c r="QXA264" s="305"/>
      <c r="QXE264" s="305"/>
      <c r="QXI264" s="305"/>
      <c r="QXM264" s="305"/>
      <c r="QXQ264" s="305"/>
      <c r="QXU264" s="305"/>
      <c r="QXY264" s="305"/>
      <c r="QYC264" s="305"/>
      <c r="QYG264" s="305"/>
      <c r="QYK264" s="305"/>
      <c r="QYO264" s="305"/>
      <c r="QYS264" s="305"/>
      <c r="QYW264" s="305"/>
      <c r="QZA264" s="305"/>
      <c r="QZE264" s="305"/>
      <c r="QZI264" s="305"/>
      <c r="QZM264" s="305"/>
      <c r="QZQ264" s="305"/>
      <c r="QZU264" s="305"/>
      <c r="QZY264" s="305"/>
      <c r="RAC264" s="305"/>
      <c r="RAG264" s="305"/>
      <c r="RAK264" s="305"/>
      <c r="RAO264" s="305"/>
      <c r="RAS264" s="305"/>
      <c r="RAW264" s="305"/>
      <c r="RBA264" s="305"/>
      <c r="RBE264" s="305"/>
      <c r="RBI264" s="305"/>
      <c r="RBM264" s="305"/>
      <c r="RBQ264" s="305"/>
      <c r="RBU264" s="305"/>
      <c r="RBY264" s="305"/>
      <c r="RCC264" s="305"/>
      <c r="RCG264" s="305"/>
      <c r="RCK264" s="305"/>
      <c r="RCO264" s="305"/>
      <c r="RCS264" s="305"/>
      <c r="RCW264" s="305"/>
      <c r="RDA264" s="305"/>
      <c r="RDE264" s="305"/>
      <c r="RDI264" s="305"/>
      <c r="RDM264" s="305"/>
      <c r="RDQ264" s="305"/>
      <c r="RDU264" s="305"/>
      <c r="RDY264" s="305"/>
      <c r="REC264" s="305"/>
      <c r="REG264" s="305"/>
      <c r="REK264" s="305"/>
      <c r="REO264" s="305"/>
      <c r="RES264" s="305"/>
      <c r="REW264" s="305"/>
      <c r="RFA264" s="305"/>
      <c r="RFE264" s="305"/>
      <c r="RFI264" s="305"/>
      <c r="RFM264" s="305"/>
      <c r="RFQ264" s="305"/>
      <c r="RFU264" s="305"/>
      <c r="RFY264" s="305"/>
      <c r="RGC264" s="305"/>
      <c r="RGG264" s="305"/>
      <c r="RGK264" s="305"/>
      <c r="RGO264" s="305"/>
      <c r="RGS264" s="305"/>
      <c r="RGW264" s="305"/>
      <c r="RHA264" s="305"/>
      <c r="RHE264" s="305"/>
      <c r="RHI264" s="305"/>
      <c r="RHM264" s="305"/>
      <c r="RHQ264" s="305"/>
      <c r="RHU264" s="305"/>
      <c r="RHY264" s="305"/>
      <c r="RIC264" s="305"/>
      <c r="RIG264" s="305"/>
      <c r="RIK264" s="305"/>
      <c r="RIO264" s="305"/>
      <c r="RIS264" s="305"/>
      <c r="RIW264" s="305"/>
      <c r="RJA264" s="305"/>
      <c r="RJE264" s="305"/>
      <c r="RJI264" s="305"/>
      <c r="RJM264" s="305"/>
      <c r="RJQ264" s="305"/>
      <c r="RJU264" s="305"/>
      <c r="RJY264" s="305"/>
      <c r="RKC264" s="305"/>
      <c r="RKG264" s="305"/>
      <c r="RKK264" s="305"/>
      <c r="RKO264" s="305"/>
      <c r="RKS264" s="305"/>
      <c r="RKW264" s="305"/>
      <c r="RLA264" s="305"/>
      <c r="RLE264" s="305"/>
      <c r="RLI264" s="305"/>
      <c r="RLM264" s="305"/>
      <c r="RLQ264" s="305"/>
      <c r="RLU264" s="305"/>
      <c r="RLY264" s="305"/>
      <c r="RMC264" s="305"/>
      <c r="RMG264" s="305"/>
      <c r="RMK264" s="305"/>
      <c r="RMO264" s="305"/>
      <c r="RMS264" s="305"/>
      <c r="RMW264" s="305"/>
      <c r="RNA264" s="305"/>
      <c r="RNE264" s="305"/>
      <c r="RNI264" s="305"/>
      <c r="RNM264" s="305"/>
      <c r="RNQ264" s="305"/>
      <c r="RNU264" s="305"/>
      <c r="RNY264" s="305"/>
      <c r="ROC264" s="305"/>
      <c r="ROG264" s="305"/>
      <c r="ROK264" s="305"/>
      <c r="ROO264" s="305"/>
      <c r="ROS264" s="305"/>
      <c r="ROW264" s="305"/>
      <c r="RPA264" s="305"/>
      <c r="RPE264" s="305"/>
      <c r="RPI264" s="305"/>
      <c r="RPM264" s="305"/>
      <c r="RPQ264" s="305"/>
      <c r="RPU264" s="305"/>
      <c r="RPY264" s="305"/>
      <c r="RQC264" s="305"/>
      <c r="RQG264" s="305"/>
      <c r="RQK264" s="305"/>
      <c r="RQO264" s="305"/>
      <c r="RQS264" s="305"/>
      <c r="RQW264" s="305"/>
      <c r="RRA264" s="305"/>
      <c r="RRE264" s="305"/>
      <c r="RRI264" s="305"/>
      <c r="RRM264" s="305"/>
      <c r="RRQ264" s="305"/>
      <c r="RRU264" s="305"/>
      <c r="RRY264" s="305"/>
      <c r="RSC264" s="305"/>
      <c r="RSG264" s="305"/>
      <c r="RSK264" s="305"/>
      <c r="RSO264" s="305"/>
      <c r="RSS264" s="305"/>
      <c r="RSW264" s="305"/>
      <c r="RTA264" s="305"/>
      <c r="RTE264" s="305"/>
      <c r="RTI264" s="305"/>
      <c r="RTM264" s="305"/>
      <c r="RTQ264" s="305"/>
      <c r="RTU264" s="305"/>
      <c r="RTY264" s="305"/>
      <c r="RUC264" s="305"/>
      <c r="RUG264" s="305"/>
      <c r="RUK264" s="305"/>
      <c r="RUO264" s="305"/>
      <c r="RUS264" s="305"/>
      <c r="RUW264" s="305"/>
      <c r="RVA264" s="305"/>
      <c r="RVE264" s="305"/>
      <c r="RVI264" s="305"/>
      <c r="RVM264" s="305"/>
      <c r="RVQ264" s="305"/>
      <c r="RVU264" s="305"/>
      <c r="RVY264" s="305"/>
      <c r="RWC264" s="305"/>
      <c r="RWG264" s="305"/>
      <c r="RWK264" s="305"/>
      <c r="RWO264" s="305"/>
      <c r="RWS264" s="305"/>
      <c r="RWW264" s="305"/>
      <c r="RXA264" s="305"/>
      <c r="RXE264" s="305"/>
      <c r="RXI264" s="305"/>
      <c r="RXM264" s="305"/>
      <c r="RXQ264" s="305"/>
      <c r="RXU264" s="305"/>
      <c r="RXY264" s="305"/>
      <c r="RYC264" s="305"/>
      <c r="RYG264" s="305"/>
      <c r="RYK264" s="305"/>
      <c r="RYO264" s="305"/>
      <c r="RYS264" s="305"/>
      <c r="RYW264" s="305"/>
      <c r="RZA264" s="305"/>
      <c r="RZE264" s="305"/>
      <c r="RZI264" s="305"/>
      <c r="RZM264" s="305"/>
      <c r="RZQ264" s="305"/>
      <c r="RZU264" s="305"/>
      <c r="RZY264" s="305"/>
      <c r="SAC264" s="305"/>
      <c r="SAG264" s="305"/>
      <c r="SAK264" s="305"/>
      <c r="SAO264" s="305"/>
      <c r="SAS264" s="305"/>
      <c r="SAW264" s="305"/>
      <c r="SBA264" s="305"/>
      <c r="SBE264" s="305"/>
      <c r="SBI264" s="305"/>
      <c r="SBM264" s="305"/>
      <c r="SBQ264" s="305"/>
      <c r="SBU264" s="305"/>
      <c r="SBY264" s="305"/>
      <c r="SCC264" s="305"/>
      <c r="SCG264" s="305"/>
      <c r="SCK264" s="305"/>
      <c r="SCO264" s="305"/>
      <c r="SCS264" s="305"/>
      <c r="SCW264" s="305"/>
      <c r="SDA264" s="305"/>
      <c r="SDE264" s="305"/>
      <c r="SDI264" s="305"/>
      <c r="SDM264" s="305"/>
      <c r="SDQ264" s="305"/>
      <c r="SDU264" s="305"/>
      <c r="SDY264" s="305"/>
      <c r="SEC264" s="305"/>
      <c r="SEG264" s="305"/>
      <c r="SEK264" s="305"/>
      <c r="SEO264" s="305"/>
      <c r="SES264" s="305"/>
      <c r="SEW264" s="305"/>
      <c r="SFA264" s="305"/>
      <c r="SFE264" s="305"/>
      <c r="SFI264" s="305"/>
      <c r="SFM264" s="305"/>
      <c r="SFQ264" s="305"/>
      <c r="SFU264" s="305"/>
      <c r="SFY264" s="305"/>
      <c r="SGC264" s="305"/>
      <c r="SGG264" s="305"/>
      <c r="SGK264" s="305"/>
      <c r="SGO264" s="305"/>
      <c r="SGS264" s="305"/>
      <c r="SGW264" s="305"/>
      <c r="SHA264" s="305"/>
      <c r="SHE264" s="305"/>
      <c r="SHI264" s="305"/>
      <c r="SHM264" s="305"/>
      <c r="SHQ264" s="305"/>
      <c r="SHU264" s="305"/>
      <c r="SHY264" s="305"/>
      <c r="SIC264" s="305"/>
      <c r="SIG264" s="305"/>
      <c r="SIK264" s="305"/>
      <c r="SIO264" s="305"/>
      <c r="SIS264" s="305"/>
      <c r="SIW264" s="305"/>
      <c r="SJA264" s="305"/>
      <c r="SJE264" s="305"/>
      <c r="SJI264" s="305"/>
      <c r="SJM264" s="305"/>
      <c r="SJQ264" s="305"/>
      <c r="SJU264" s="305"/>
      <c r="SJY264" s="305"/>
      <c r="SKC264" s="305"/>
      <c r="SKG264" s="305"/>
      <c r="SKK264" s="305"/>
      <c r="SKO264" s="305"/>
      <c r="SKS264" s="305"/>
      <c r="SKW264" s="305"/>
      <c r="SLA264" s="305"/>
      <c r="SLE264" s="305"/>
      <c r="SLI264" s="305"/>
      <c r="SLM264" s="305"/>
      <c r="SLQ264" s="305"/>
      <c r="SLU264" s="305"/>
      <c r="SLY264" s="305"/>
      <c r="SMC264" s="305"/>
      <c r="SMG264" s="305"/>
      <c r="SMK264" s="305"/>
      <c r="SMO264" s="305"/>
      <c r="SMS264" s="305"/>
      <c r="SMW264" s="305"/>
      <c r="SNA264" s="305"/>
      <c r="SNE264" s="305"/>
      <c r="SNI264" s="305"/>
      <c r="SNM264" s="305"/>
      <c r="SNQ264" s="305"/>
      <c r="SNU264" s="305"/>
      <c r="SNY264" s="305"/>
      <c r="SOC264" s="305"/>
      <c r="SOG264" s="305"/>
      <c r="SOK264" s="305"/>
      <c r="SOO264" s="305"/>
      <c r="SOS264" s="305"/>
      <c r="SOW264" s="305"/>
      <c r="SPA264" s="305"/>
      <c r="SPE264" s="305"/>
      <c r="SPI264" s="305"/>
      <c r="SPM264" s="305"/>
      <c r="SPQ264" s="305"/>
      <c r="SPU264" s="305"/>
      <c r="SPY264" s="305"/>
      <c r="SQC264" s="305"/>
      <c r="SQG264" s="305"/>
      <c r="SQK264" s="305"/>
      <c r="SQO264" s="305"/>
      <c r="SQS264" s="305"/>
      <c r="SQW264" s="305"/>
      <c r="SRA264" s="305"/>
      <c r="SRE264" s="305"/>
      <c r="SRI264" s="305"/>
      <c r="SRM264" s="305"/>
      <c r="SRQ264" s="305"/>
      <c r="SRU264" s="305"/>
      <c r="SRY264" s="305"/>
      <c r="SSC264" s="305"/>
      <c r="SSG264" s="305"/>
      <c r="SSK264" s="305"/>
      <c r="SSO264" s="305"/>
      <c r="SSS264" s="305"/>
      <c r="SSW264" s="305"/>
      <c r="STA264" s="305"/>
      <c r="STE264" s="305"/>
      <c r="STI264" s="305"/>
      <c r="STM264" s="305"/>
      <c r="STQ264" s="305"/>
      <c r="STU264" s="305"/>
      <c r="STY264" s="305"/>
      <c r="SUC264" s="305"/>
      <c r="SUG264" s="305"/>
      <c r="SUK264" s="305"/>
      <c r="SUO264" s="305"/>
      <c r="SUS264" s="305"/>
      <c r="SUW264" s="305"/>
      <c r="SVA264" s="305"/>
      <c r="SVE264" s="305"/>
      <c r="SVI264" s="305"/>
      <c r="SVM264" s="305"/>
      <c r="SVQ264" s="305"/>
      <c r="SVU264" s="305"/>
      <c r="SVY264" s="305"/>
      <c r="SWC264" s="305"/>
      <c r="SWG264" s="305"/>
      <c r="SWK264" s="305"/>
      <c r="SWO264" s="305"/>
      <c r="SWS264" s="305"/>
      <c r="SWW264" s="305"/>
      <c r="SXA264" s="305"/>
      <c r="SXE264" s="305"/>
      <c r="SXI264" s="305"/>
      <c r="SXM264" s="305"/>
      <c r="SXQ264" s="305"/>
      <c r="SXU264" s="305"/>
      <c r="SXY264" s="305"/>
      <c r="SYC264" s="305"/>
      <c r="SYG264" s="305"/>
      <c r="SYK264" s="305"/>
      <c r="SYO264" s="305"/>
      <c r="SYS264" s="305"/>
      <c r="SYW264" s="305"/>
      <c r="SZA264" s="305"/>
      <c r="SZE264" s="305"/>
      <c r="SZI264" s="305"/>
      <c r="SZM264" s="305"/>
      <c r="SZQ264" s="305"/>
      <c r="SZU264" s="305"/>
      <c r="SZY264" s="305"/>
      <c r="TAC264" s="305"/>
      <c r="TAG264" s="305"/>
      <c r="TAK264" s="305"/>
      <c r="TAO264" s="305"/>
      <c r="TAS264" s="305"/>
      <c r="TAW264" s="305"/>
      <c r="TBA264" s="305"/>
      <c r="TBE264" s="305"/>
      <c r="TBI264" s="305"/>
      <c r="TBM264" s="305"/>
      <c r="TBQ264" s="305"/>
      <c r="TBU264" s="305"/>
      <c r="TBY264" s="305"/>
      <c r="TCC264" s="305"/>
      <c r="TCG264" s="305"/>
      <c r="TCK264" s="305"/>
      <c r="TCO264" s="305"/>
      <c r="TCS264" s="305"/>
      <c r="TCW264" s="305"/>
      <c r="TDA264" s="305"/>
      <c r="TDE264" s="305"/>
      <c r="TDI264" s="305"/>
      <c r="TDM264" s="305"/>
      <c r="TDQ264" s="305"/>
      <c r="TDU264" s="305"/>
      <c r="TDY264" s="305"/>
      <c r="TEC264" s="305"/>
      <c r="TEG264" s="305"/>
      <c r="TEK264" s="305"/>
      <c r="TEO264" s="305"/>
      <c r="TES264" s="305"/>
      <c r="TEW264" s="305"/>
      <c r="TFA264" s="305"/>
      <c r="TFE264" s="305"/>
      <c r="TFI264" s="305"/>
      <c r="TFM264" s="305"/>
      <c r="TFQ264" s="305"/>
      <c r="TFU264" s="305"/>
      <c r="TFY264" s="305"/>
      <c r="TGC264" s="305"/>
      <c r="TGG264" s="305"/>
      <c r="TGK264" s="305"/>
      <c r="TGO264" s="305"/>
      <c r="TGS264" s="305"/>
      <c r="TGW264" s="305"/>
      <c r="THA264" s="305"/>
      <c r="THE264" s="305"/>
      <c r="THI264" s="305"/>
      <c r="THM264" s="305"/>
      <c r="THQ264" s="305"/>
      <c r="THU264" s="305"/>
      <c r="THY264" s="305"/>
      <c r="TIC264" s="305"/>
      <c r="TIG264" s="305"/>
      <c r="TIK264" s="305"/>
      <c r="TIO264" s="305"/>
      <c r="TIS264" s="305"/>
      <c r="TIW264" s="305"/>
      <c r="TJA264" s="305"/>
      <c r="TJE264" s="305"/>
      <c r="TJI264" s="305"/>
      <c r="TJM264" s="305"/>
      <c r="TJQ264" s="305"/>
      <c r="TJU264" s="305"/>
      <c r="TJY264" s="305"/>
      <c r="TKC264" s="305"/>
      <c r="TKG264" s="305"/>
      <c r="TKK264" s="305"/>
      <c r="TKO264" s="305"/>
      <c r="TKS264" s="305"/>
      <c r="TKW264" s="305"/>
      <c r="TLA264" s="305"/>
      <c r="TLE264" s="305"/>
      <c r="TLI264" s="305"/>
      <c r="TLM264" s="305"/>
      <c r="TLQ264" s="305"/>
      <c r="TLU264" s="305"/>
      <c r="TLY264" s="305"/>
      <c r="TMC264" s="305"/>
      <c r="TMG264" s="305"/>
      <c r="TMK264" s="305"/>
      <c r="TMO264" s="305"/>
      <c r="TMS264" s="305"/>
      <c r="TMW264" s="305"/>
      <c r="TNA264" s="305"/>
      <c r="TNE264" s="305"/>
      <c r="TNI264" s="305"/>
      <c r="TNM264" s="305"/>
      <c r="TNQ264" s="305"/>
      <c r="TNU264" s="305"/>
      <c r="TNY264" s="305"/>
      <c r="TOC264" s="305"/>
      <c r="TOG264" s="305"/>
      <c r="TOK264" s="305"/>
      <c r="TOO264" s="305"/>
      <c r="TOS264" s="305"/>
      <c r="TOW264" s="305"/>
      <c r="TPA264" s="305"/>
      <c r="TPE264" s="305"/>
      <c r="TPI264" s="305"/>
      <c r="TPM264" s="305"/>
      <c r="TPQ264" s="305"/>
      <c r="TPU264" s="305"/>
      <c r="TPY264" s="305"/>
      <c r="TQC264" s="305"/>
      <c r="TQG264" s="305"/>
      <c r="TQK264" s="305"/>
      <c r="TQO264" s="305"/>
      <c r="TQS264" s="305"/>
      <c r="TQW264" s="305"/>
      <c r="TRA264" s="305"/>
      <c r="TRE264" s="305"/>
      <c r="TRI264" s="305"/>
      <c r="TRM264" s="305"/>
      <c r="TRQ264" s="305"/>
      <c r="TRU264" s="305"/>
      <c r="TRY264" s="305"/>
      <c r="TSC264" s="305"/>
      <c r="TSG264" s="305"/>
      <c r="TSK264" s="305"/>
      <c r="TSO264" s="305"/>
      <c r="TSS264" s="305"/>
      <c r="TSW264" s="305"/>
      <c r="TTA264" s="305"/>
      <c r="TTE264" s="305"/>
      <c r="TTI264" s="305"/>
      <c r="TTM264" s="305"/>
      <c r="TTQ264" s="305"/>
      <c r="TTU264" s="305"/>
      <c r="TTY264" s="305"/>
      <c r="TUC264" s="305"/>
      <c r="TUG264" s="305"/>
      <c r="TUK264" s="305"/>
      <c r="TUO264" s="305"/>
      <c r="TUS264" s="305"/>
      <c r="TUW264" s="305"/>
      <c r="TVA264" s="305"/>
      <c r="TVE264" s="305"/>
      <c r="TVI264" s="305"/>
      <c r="TVM264" s="305"/>
      <c r="TVQ264" s="305"/>
      <c r="TVU264" s="305"/>
      <c r="TVY264" s="305"/>
      <c r="TWC264" s="305"/>
      <c r="TWG264" s="305"/>
      <c r="TWK264" s="305"/>
      <c r="TWO264" s="305"/>
      <c r="TWS264" s="305"/>
      <c r="TWW264" s="305"/>
      <c r="TXA264" s="305"/>
      <c r="TXE264" s="305"/>
      <c r="TXI264" s="305"/>
      <c r="TXM264" s="305"/>
      <c r="TXQ264" s="305"/>
      <c r="TXU264" s="305"/>
      <c r="TXY264" s="305"/>
      <c r="TYC264" s="305"/>
      <c r="TYG264" s="305"/>
      <c r="TYK264" s="305"/>
      <c r="TYO264" s="305"/>
      <c r="TYS264" s="305"/>
      <c r="TYW264" s="305"/>
      <c r="TZA264" s="305"/>
      <c r="TZE264" s="305"/>
      <c r="TZI264" s="305"/>
      <c r="TZM264" s="305"/>
      <c r="TZQ264" s="305"/>
      <c r="TZU264" s="305"/>
      <c r="TZY264" s="305"/>
      <c r="UAC264" s="305"/>
      <c r="UAG264" s="305"/>
      <c r="UAK264" s="305"/>
      <c r="UAO264" s="305"/>
      <c r="UAS264" s="305"/>
      <c r="UAW264" s="305"/>
      <c r="UBA264" s="305"/>
      <c r="UBE264" s="305"/>
      <c r="UBI264" s="305"/>
      <c r="UBM264" s="305"/>
      <c r="UBQ264" s="305"/>
      <c r="UBU264" s="305"/>
      <c r="UBY264" s="305"/>
      <c r="UCC264" s="305"/>
      <c r="UCG264" s="305"/>
      <c r="UCK264" s="305"/>
      <c r="UCO264" s="305"/>
      <c r="UCS264" s="305"/>
      <c r="UCW264" s="305"/>
      <c r="UDA264" s="305"/>
      <c r="UDE264" s="305"/>
      <c r="UDI264" s="305"/>
      <c r="UDM264" s="305"/>
      <c r="UDQ264" s="305"/>
      <c r="UDU264" s="305"/>
      <c r="UDY264" s="305"/>
      <c r="UEC264" s="305"/>
      <c r="UEG264" s="305"/>
      <c r="UEK264" s="305"/>
      <c r="UEO264" s="305"/>
      <c r="UES264" s="305"/>
      <c r="UEW264" s="305"/>
      <c r="UFA264" s="305"/>
      <c r="UFE264" s="305"/>
      <c r="UFI264" s="305"/>
      <c r="UFM264" s="305"/>
      <c r="UFQ264" s="305"/>
      <c r="UFU264" s="305"/>
      <c r="UFY264" s="305"/>
      <c r="UGC264" s="305"/>
      <c r="UGG264" s="305"/>
      <c r="UGK264" s="305"/>
      <c r="UGO264" s="305"/>
      <c r="UGS264" s="305"/>
      <c r="UGW264" s="305"/>
      <c r="UHA264" s="305"/>
      <c r="UHE264" s="305"/>
      <c r="UHI264" s="305"/>
      <c r="UHM264" s="305"/>
      <c r="UHQ264" s="305"/>
      <c r="UHU264" s="305"/>
      <c r="UHY264" s="305"/>
      <c r="UIC264" s="305"/>
      <c r="UIG264" s="305"/>
      <c r="UIK264" s="305"/>
      <c r="UIO264" s="305"/>
      <c r="UIS264" s="305"/>
      <c r="UIW264" s="305"/>
      <c r="UJA264" s="305"/>
      <c r="UJE264" s="305"/>
      <c r="UJI264" s="305"/>
      <c r="UJM264" s="305"/>
      <c r="UJQ264" s="305"/>
      <c r="UJU264" s="305"/>
      <c r="UJY264" s="305"/>
      <c r="UKC264" s="305"/>
      <c r="UKG264" s="305"/>
      <c r="UKK264" s="305"/>
      <c r="UKO264" s="305"/>
      <c r="UKS264" s="305"/>
      <c r="UKW264" s="305"/>
      <c r="ULA264" s="305"/>
      <c r="ULE264" s="305"/>
      <c r="ULI264" s="305"/>
      <c r="ULM264" s="305"/>
      <c r="ULQ264" s="305"/>
      <c r="ULU264" s="305"/>
      <c r="ULY264" s="305"/>
      <c r="UMC264" s="305"/>
      <c r="UMG264" s="305"/>
      <c r="UMK264" s="305"/>
      <c r="UMO264" s="305"/>
      <c r="UMS264" s="305"/>
      <c r="UMW264" s="305"/>
      <c r="UNA264" s="305"/>
      <c r="UNE264" s="305"/>
      <c r="UNI264" s="305"/>
      <c r="UNM264" s="305"/>
      <c r="UNQ264" s="305"/>
      <c r="UNU264" s="305"/>
      <c r="UNY264" s="305"/>
      <c r="UOC264" s="305"/>
      <c r="UOG264" s="305"/>
      <c r="UOK264" s="305"/>
      <c r="UOO264" s="305"/>
      <c r="UOS264" s="305"/>
      <c r="UOW264" s="305"/>
      <c r="UPA264" s="305"/>
      <c r="UPE264" s="305"/>
      <c r="UPI264" s="305"/>
      <c r="UPM264" s="305"/>
      <c r="UPQ264" s="305"/>
      <c r="UPU264" s="305"/>
      <c r="UPY264" s="305"/>
      <c r="UQC264" s="305"/>
      <c r="UQG264" s="305"/>
      <c r="UQK264" s="305"/>
      <c r="UQO264" s="305"/>
      <c r="UQS264" s="305"/>
      <c r="UQW264" s="305"/>
      <c r="URA264" s="305"/>
      <c r="URE264" s="305"/>
      <c r="URI264" s="305"/>
      <c r="URM264" s="305"/>
      <c r="URQ264" s="305"/>
      <c r="URU264" s="305"/>
      <c r="URY264" s="305"/>
      <c r="USC264" s="305"/>
      <c r="USG264" s="305"/>
      <c r="USK264" s="305"/>
      <c r="USO264" s="305"/>
      <c r="USS264" s="305"/>
      <c r="USW264" s="305"/>
      <c r="UTA264" s="305"/>
      <c r="UTE264" s="305"/>
      <c r="UTI264" s="305"/>
      <c r="UTM264" s="305"/>
      <c r="UTQ264" s="305"/>
      <c r="UTU264" s="305"/>
      <c r="UTY264" s="305"/>
      <c r="UUC264" s="305"/>
      <c r="UUG264" s="305"/>
      <c r="UUK264" s="305"/>
      <c r="UUO264" s="305"/>
      <c r="UUS264" s="305"/>
      <c r="UUW264" s="305"/>
      <c r="UVA264" s="305"/>
      <c r="UVE264" s="305"/>
      <c r="UVI264" s="305"/>
      <c r="UVM264" s="305"/>
      <c r="UVQ264" s="305"/>
      <c r="UVU264" s="305"/>
      <c r="UVY264" s="305"/>
      <c r="UWC264" s="305"/>
      <c r="UWG264" s="305"/>
      <c r="UWK264" s="305"/>
      <c r="UWO264" s="305"/>
      <c r="UWS264" s="305"/>
      <c r="UWW264" s="305"/>
      <c r="UXA264" s="305"/>
      <c r="UXE264" s="305"/>
      <c r="UXI264" s="305"/>
      <c r="UXM264" s="305"/>
      <c r="UXQ264" s="305"/>
      <c r="UXU264" s="305"/>
      <c r="UXY264" s="305"/>
      <c r="UYC264" s="305"/>
      <c r="UYG264" s="305"/>
      <c r="UYK264" s="305"/>
      <c r="UYO264" s="305"/>
      <c r="UYS264" s="305"/>
      <c r="UYW264" s="305"/>
      <c r="UZA264" s="305"/>
      <c r="UZE264" s="305"/>
      <c r="UZI264" s="305"/>
      <c r="UZM264" s="305"/>
      <c r="UZQ264" s="305"/>
      <c r="UZU264" s="305"/>
      <c r="UZY264" s="305"/>
      <c r="VAC264" s="305"/>
      <c r="VAG264" s="305"/>
      <c r="VAK264" s="305"/>
      <c r="VAO264" s="305"/>
      <c r="VAS264" s="305"/>
      <c r="VAW264" s="305"/>
      <c r="VBA264" s="305"/>
      <c r="VBE264" s="305"/>
      <c r="VBI264" s="305"/>
      <c r="VBM264" s="305"/>
      <c r="VBQ264" s="305"/>
      <c r="VBU264" s="305"/>
      <c r="VBY264" s="305"/>
      <c r="VCC264" s="305"/>
      <c r="VCG264" s="305"/>
      <c r="VCK264" s="305"/>
      <c r="VCO264" s="305"/>
      <c r="VCS264" s="305"/>
      <c r="VCW264" s="305"/>
      <c r="VDA264" s="305"/>
      <c r="VDE264" s="305"/>
      <c r="VDI264" s="305"/>
      <c r="VDM264" s="305"/>
      <c r="VDQ264" s="305"/>
      <c r="VDU264" s="305"/>
      <c r="VDY264" s="305"/>
      <c r="VEC264" s="305"/>
      <c r="VEG264" s="305"/>
      <c r="VEK264" s="305"/>
      <c r="VEO264" s="305"/>
      <c r="VES264" s="305"/>
      <c r="VEW264" s="305"/>
      <c r="VFA264" s="305"/>
      <c r="VFE264" s="305"/>
      <c r="VFI264" s="305"/>
      <c r="VFM264" s="305"/>
      <c r="VFQ264" s="305"/>
      <c r="VFU264" s="305"/>
      <c r="VFY264" s="305"/>
      <c r="VGC264" s="305"/>
      <c r="VGG264" s="305"/>
      <c r="VGK264" s="305"/>
      <c r="VGO264" s="305"/>
      <c r="VGS264" s="305"/>
      <c r="VGW264" s="305"/>
      <c r="VHA264" s="305"/>
      <c r="VHE264" s="305"/>
      <c r="VHI264" s="305"/>
      <c r="VHM264" s="305"/>
      <c r="VHQ264" s="305"/>
      <c r="VHU264" s="305"/>
      <c r="VHY264" s="305"/>
      <c r="VIC264" s="305"/>
      <c r="VIG264" s="305"/>
      <c r="VIK264" s="305"/>
      <c r="VIO264" s="305"/>
      <c r="VIS264" s="305"/>
      <c r="VIW264" s="305"/>
      <c r="VJA264" s="305"/>
      <c r="VJE264" s="305"/>
      <c r="VJI264" s="305"/>
      <c r="VJM264" s="305"/>
      <c r="VJQ264" s="305"/>
      <c r="VJU264" s="305"/>
      <c r="VJY264" s="305"/>
      <c r="VKC264" s="305"/>
      <c r="VKG264" s="305"/>
      <c r="VKK264" s="305"/>
      <c r="VKO264" s="305"/>
      <c r="VKS264" s="305"/>
      <c r="VKW264" s="305"/>
      <c r="VLA264" s="305"/>
      <c r="VLE264" s="305"/>
      <c r="VLI264" s="305"/>
      <c r="VLM264" s="305"/>
      <c r="VLQ264" s="305"/>
      <c r="VLU264" s="305"/>
      <c r="VLY264" s="305"/>
      <c r="VMC264" s="305"/>
      <c r="VMG264" s="305"/>
      <c r="VMK264" s="305"/>
      <c r="VMO264" s="305"/>
      <c r="VMS264" s="305"/>
      <c r="VMW264" s="305"/>
      <c r="VNA264" s="305"/>
      <c r="VNE264" s="305"/>
      <c r="VNI264" s="305"/>
      <c r="VNM264" s="305"/>
      <c r="VNQ264" s="305"/>
      <c r="VNU264" s="305"/>
      <c r="VNY264" s="305"/>
      <c r="VOC264" s="305"/>
      <c r="VOG264" s="305"/>
      <c r="VOK264" s="305"/>
      <c r="VOO264" s="305"/>
      <c r="VOS264" s="305"/>
      <c r="VOW264" s="305"/>
      <c r="VPA264" s="305"/>
      <c r="VPE264" s="305"/>
      <c r="VPI264" s="305"/>
      <c r="VPM264" s="305"/>
      <c r="VPQ264" s="305"/>
      <c r="VPU264" s="305"/>
      <c r="VPY264" s="305"/>
      <c r="VQC264" s="305"/>
      <c r="VQG264" s="305"/>
      <c r="VQK264" s="305"/>
      <c r="VQO264" s="305"/>
      <c r="VQS264" s="305"/>
      <c r="VQW264" s="305"/>
      <c r="VRA264" s="305"/>
      <c r="VRE264" s="305"/>
      <c r="VRI264" s="305"/>
      <c r="VRM264" s="305"/>
      <c r="VRQ264" s="305"/>
      <c r="VRU264" s="305"/>
      <c r="VRY264" s="305"/>
      <c r="VSC264" s="305"/>
      <c r="VSG264" s="305"/>
      <c r="VSK264" s="305"/>
      <c r="VSO264" s="305"/>
      <c r="VSS264" s="305"/>
      <c r="VSW264" s="305"/>
      <c r="VTA264" s="305"/>
      <c r="VTE264" s="305"/>
      <c r="VTI264" s="305"/>
      <c r="VTM264" s="305"/>
      <c r="VTQ264" s="305"/>
      <c r="VTU264" s="305"/>
      <c r="VTY264" s="305"/>
      <c r="VUC264" s="305"/>
      <c r="VUG264" s="305"/>
      <c r="VUK264" s="305"/>
      <c r="VUO264" s="305"/>
      <c r="VUS264" s="305"/>
      <c r="VUW264" s="305"/>
      <c r="VVA264" s="305"/>
      <c r="VVE264" s="305"/>
      <c r="VVI264" s="305"/>
      <c r="VVM264" s="305"/>
      <c r="VVQ264" s="305"/>
      <c r="VVU264" s="305"/>
      <c r="VVY264" s="305"/>
      <c r="VWC264" s="305"/>
      <c r="VWG264" s="305"/>
      <c r="VWK264" s="305"/>
      <c r="VWO264" s="305"/>
      <c r="VWS264" s="305"/>
      <c r="VWW264" s="305"/>
      <c r="VXA264" s="305"/>
      <c r="VXE264" s="305"/>
      <c r="VXI264" s="305"/>
      <c r="VXM264" s="305"/>
      <c r="VXQ264" s="305"/>
      <c r="VXU264" s="305"/>
      <c r="VXY264" s="305"/>
      <c r="VYC264" s="305"/>
      <c r="VYG264" s="305"/>
      <c r="VYK264" s="305"/>
      <c r="VYO264" s="305"/>
      <c r="VYS264" s="305"/>
      <c r="VYW264" s="305"/>
      <c r="VZA264" s="305"/>
      <c r="VZE264" s="305"/>
      <c r="VZI264" s="305"/>
      <c r="VZM264" s="305"/>
      <c r="VZQ264" s="305"/>
      <c r="VZU264" s="305"/>
      <c r="VZY264" s="305"/>
      <c r="WAC264" s="305"/>
      <c r="WAG264" s="305"/>
      <c r="WAK264" s="305"/>
      <c r="WAO264" s="305"/>
      <c r="WAS264" s="305"/>
      <c r="WAW264" s="305"/>
      <c r="WBA264" s="305"/>
      <c r="WBE264" s="305"/>
      <c r="WBI264" s="305"/>
      <c r="WBM264" s="305"/>
      <c r="WBQ264" s="305"/>
      <c r="WBU264" s="305"/>
      <c r="WBY264" s="305"/>
      <c r="WCC264" s="305"/>
      <c r="WCG264" s="305"/>
      <c r="WCK264" s="305"/>
      <c r="WCO264" s="305"/>
      <c r="WCS264" s="305"/>
      <c r="WCW264" s="305"/>
      <c r="WDA264" s="305"/>
      <c r="WDE264" s="305"/>
      <c r="WDI264" s="305"/>
      <c r="WDM264" s="305"/>
      <c r="WDQ264" s="305"/>
      <c r="WDU264" s="305"/>
      <c r="WDY264" s="305"/>
      <c r="WEC264" s="305"/>
      <c r="WEG264" s="305"/>
      <c r="WEK264" s="305"/>
      <c r="WEO264" s="305"/>
      <c r="WES264" s="305"/>
      <c r="WEW264" s="305"/>
      <c r="WFA264" s="305"/>
      <c r="WFE264" s="305"/>
      <c r="WFI264" s="305"/>
      <c r="WFM264" s="305"/>
      <c r="WFQ264" s="305"/>
      <c r="WFU264" s="305"/>
      <c r="WFY264" s="305"/>
      <c r="WGC264" s="305"/>
      <c r="WGG264" s="305"/>
      <c r="WGK264" s="305"/>
      <c r="WGO264" s="305"/>
      <c r="WGS264" s="305"/>
      <c r="WGW264" s="305"/>
      <c r="WHA264" s="305"/>
      <c r="WHE264" s="305"/>
      <c r="WHI264" s="305"/>
      <c r="WHM264" s="305"/>
      <c r="WHQ264" s="305"/>
      <c r="WHU264" s="305"/>
      <c r="WHY264" s="305"/>
      <c r="WIC264" s="305"/>
      <c r="WIG264" s="305"/>
      <c r="WIK264" s="305"/>
      <c r="WIO264" s="305"/>
      <c r="WIS264" s="305"/>
      <c r="WIW264" s="305"/>
      <c r="WJA264" s="305"/>
      <c r="WJE264" s="305"/>
      <c r="WJI264" s="305"/>
      <c r="WJM264" s="305"/>
      <c r="WJQ264" s="305"/>
      <c r="WJU264" s="305"/>
      <c r="WJY264" s="305"/>
      <c r="WKC264" s="305"/>
      <c r="WKG264" s="305"/>
      <c r="WKK264" s="305"/>
      <c r="WKO264" s="305"/>
      <c r="WKS264" s="305"/>
      <c r="WKW264" s="305"/>
      <c r="WLA264" s="305"/>
      <c r="WLE264" s="305"/>
      <c r="WLI264" s="305"/>
      <c r="WLM264" s="305"/>
      <c r="WLQ264" s="305"/>
      <c r="WLU264" s="305"/>
      <c r="WLY264" s="305"/>
      <c r="WMC264" s="305"/>
      <c r="WMG264" s="305"/>
      <c r="WMK264" s="305"/>
      <c r="WMO264" s="305"/>
      <c r="WMS264" s="305"/>
      <c r="WMW264" s="305"/>
      <c r="WNA264" s="305"/>
      <c r="WNE264" s="305"/>
      <c r="WNI264" s="305"/>
      <c r="WNM264" s="305"/>
      <c r="WNQ264" s="305"/>
      <c r="WNU264" s="305"/>
      <c r="WNY264" s="305"/>
      <c r="WOC264" s="305"/>
      <c r="WOG264" s="305"/>
      <c r="WOK264" s="305"/>
      <c r="WOO264" s="305"/>
      <c r="WOS264" s="305"/>
      <c r="WOW264" s="305"/>
      <c r="WPA264" s="305"/>
      <c r="WPE264" s="305"/>
      <c r="WPI264" s="305"/>
      <c r="WPM264" s="305"/>
      <c r="WPQ264" s="305"/>
      <c r="WPU264" s="305"/>
      <c r="WPY264" s="305"/>
      <c r="WQC264" s="305"/>
      <c r="WQG264" s="305"/>
      <c r="WQK264" s="305"/>
      <c r="WQO264" s="305"/>
      <c r="WQS264" s="305"/>
      <c r="WQW264" s="305"/>
      <c r="WRA264" s="305"/>
      <c r="WRE264" s="305"/>
      <c r="WRI264" s="305"/>
      <c r="WRM264" s="305"/>
      <c r="WRQ264" s="305"/>
      <c r="WRU264" s="305"/>
      <c r="WRY264" s="305"/>
      <c r="WSC264" s="305"/>
      <c r="WSG264" s="305"/>
      <c r="WSK264" s="305"/>
      <c r="WSO264" s="305"/>
      <c r="WSS264" s="305"/>
      <c r="WSW264" s="305"/>
      <c r="WTA264" s="305"/>
      <c r="WTE264" s="305"/>
      <c r="WTI264" s="305"/>
      <c r="WTM264" s="305"/>
      <c r="WTQ264" s="305"/>
      <c r="WTU264" s="305"/>
      <c r="WTY264" s="305"/>
      <c r="WUC264" s="305"/>
      <c r="WUG264" s="305"/>
      <c r="WUK264" s="305"/>
      <c r="WUO264" s="305"/>
      <c r="WUS264" s="305"/>
      <c r="WUW264" s="305"/>
      <c r="WVA264" s="305"/>
      <c r="WVE264" s="305"/>
      <c r="WVI264" s="305"/>
      <c r="WVM264" s="305"/>
      <c r="WVQ264" s="305"/>
      <c r="WVU264" s="305"/>
      <c r="WVY264" s="305"/>
      <c r="WWC264" s="305"/>
      <c r="WWG264" s="305"/>
      <c r="WWK264" s="305"/>
      <c r="WWO264" s="305"/>
      <c r="WWS264" s="305"/>
      <c r="WWW264" s="305"/>
      <c r="WXA264" s="305"/>
      <c r="WXE264" s="305"/>
      <c r="WXI264" s="305"/>
      <c r="WXM264" s="305"/>
      <c r="WXQ264" s="305"/>
      <c r="WXU264" s="305"/>
      <c r="WXY264" s="305"/>
      <c r="WYC264" s="305"/>
      <c r="WYG264" s="305"/>
      <c r="WYK264" s="305"/>
      <c r="WYO264" s="305"/>
      <c r="WYS264" s="305"/>
      <c r="WYW264" s="305"/>
      <c r="WZA264" s="305"/>
      <c r="WZE264" s="305"/>
      <c r="WZI264" s="305"/>
      <c r="WZM264" s="305"/>
      <c r="WZQ264" s="305"/>
      <c r="WZU264" s="305"/>
      <c r="WZY264" s="305"/>
      <c r="XAC264" s="305"/>
      <c r="XAG264" s="305"/>
      <c r="XAK264" s="305"/>
      <c r="XAO264" s="305"/>
      <c r="XAS264" s="305"/>
      <c r="XAW264" s="305"/>
      <c r="XBA264" s="305"/>
      <c r="XBE264" s="305"/>
      <c r="XBI264" s="305"/>
      <c r="XBM264" s="305"/>
      <c r="XBQ264" s="305"/>
      <c r="XBU264" s="305"/>
      <c r="XBY264" s="305"/>
      <c r="XCC264" s="305"/>
      <c r="XCG264" s="305"/>
      <c r="XCK264" s="305"/>
      <c r="XCO264" s="305"/>
      <c r="XCS264" s="305"/>
      <c r="XCW264" s="305"/>
      <c r="XDA264" s="305"/>
      <c r="XDE264" s="305"/>
      <c r="XDI264" s="305"/>
      <c r="XDM264" s="305"/>
      <c r="XDQ264" s="305"/>
      <c r="XDU264" s="305"/>
      <c r="XDY264" s="305"/>
      <c r="XEC264" s="305"/>
      <c r="XEG264" s="305"/>
      <c r="XEK264" s="305"/>
      <c r="XEO264" s="305"/>
      <c r="XES264" s="305"/>
      <c r="XEW264" s="305"/>
      <c r="XFA264" s="305"/>
    </row>
    <row r="265" spans="1:1021 1025:2045 2049:3069 3073:4093 4097:5117 5121:6141 6145:7165 7169:8189 8193:9213 9217:10237 10241:11261 11265:12285 12289:13309 13313:14333 14337:15357 15361:16381" s="330" customFormat="1">
      <c r="A265" s="676" t="s">
        <v>853</v>
      </c>
      <c r="B265" s="681">
        <f t="shared" ref="B265:I265" si="104">B264/B25</f>
        <v>0.42929884036914473</v>
      </c>
      <c r="C265" s="681">
        <f t="shared" si="104"/>
        <v>0.41700409781247344</v>
      </c>
      <c r="D265" s="681">
        <f t="shared" si="104"/>
        <v>0.40638845256670503</v>
      </c>
      <c r="E265" s="681">
        <f t="shared" si="104"/>
        <v>0.39917684344003895</v>
      </c>
      <c r="F265" s="681">
        <f t="shared" si="104"/>
        <v>0.3967111749655256</v>
      </c>
      <c r="G265" s="681">
        <f t="shared" si="104"/>
        <v>0.39311715620564885</v>
      </c>
      <c r="H265" s="681">
        <f t="shared" si="104"/>
        <v>0.38953789181716131</v>
      </c>
      <c r="I265" s="681">
        <f t="shared" si="104"/>
        <v>0.38597745471015726</v>
      </c>
      <c r="M265" s="305"/>
      <c r="Q265" s="305"/>
      <c r="U265" s="305"/>
      <c r="Y265" s="305"/>
      <c r="AC265" s="305"/>
      <c r="AG265" s="305"/>
      <c r="AK265" s="305"/>
      <c r="AO265" s="305"/>
      <c r="AS265" s="305"/>
      <c r="AW265" s="305"/>
      <c r="BA265" s="305"/>
      <c r="BE265" s="305"/>
      <c r="BI265" s="305"/>
      <c r="BM265" s="305"/>
      <c r="BQ265" s="305"/>
      <c r="BU265" s="305"/>
      <c r="BY265" s="305"/>
      <c r="CC265" s="305"/>
      <c r="CG265" s="305"/>
      <c r="CK265" s="305"/>
      <c r="CO265" s="305"/>
      <c r="CS265" s="305"/>
      <c r="CW265" s="305"/>
      <c r="DA265" s="305"/>
      <c r="DE265" s="305"/>
      <c r="DI265" s="305"/>
      <c r="DM265" s="305"/>
      <c r="DQ265" s="305"/>
      <c r="DU265" s="305"/>
      <c r="DY265" s="305"/>
      <c r="EC265" s="305"/>
      <c r="EG265" s="305"/>
      <c r="EK265" s="305"/>
      <c r="EO265" s="305"/>
      <c r="ES265" s="305"/>
      <c r="EW265" s="305"/>
      <c r="FA265" s="305"/>
      <c r="FE265" s="305"/>
      <c r="FI265" s="305"/>
      <c r="FM265" s="305"/>
      <c r="FQ265" s="305"/>
      <c r="FU265" s="305"/>
      <c r="FY265" s="305"/>
      <c r="GC265" s="305"/>
      <c r="GG265" s="305"/>
      <c r="GK265" s="305"/>
      <c r="GO265" s="305"/>
      <c r="GS265" s="305"/>
      <c r="GW265" s="305"/>
      <c r="HA265" s="305"/>
      <c r="HE265" s="305"/>
      <c r="HI265" s="305"/>
      <c r="HM265" s="305"/>
      <c r="HQ265" s="305"/>
      <c r="HU265" s="305"/>
      <c r="HY265" s="305"/>
      <c r="IC265" s="305"/>
      <c r="IG265" s="305"/>
      <c r="IK265" s="305"/>
      <c r="IO265" s="305"/>
      <c r="IS265" s="305"/>
      <c r="IW265" s="305"/>
      <c r="JA265" s="305"/>
      <c r="JE265" s="305"/>
      <c r="JI265" s="305"/>
      <c r="JM265" s="305"/>
      <c r="JQ265" s="305"/>
      <c r="JU265" s="305"/>
      <c r="JY265" s="305"/>
      <c r="KC265" s="305"/>
      <c r="KG265" s="305"/>
      <c r="KK265" s="305"/>
      <c r="KO265" s="305"/>
      <c r="KS265" s="305"/>
      <c r="KW265" s="305"/>
      <c r="LA265" s="305"/>
      <c r="LE265" s="305"/>
      <c r="LI265" s="305"/>
      <c r="LM265" s="305"/>
      <c r="LQ265" s="305"/>
      <c r="LU265" s="305"/>
      <c r="LY265" s="305"/>
      <c r="MC265" s="305"/>
      <c r="MG265" s="305"/>
      <c r="MK265" s="305"/>
      <c r="MO265" s="305"/>
      <c r="MS265" s="305"/>
      <c r="MW265" s="305"/>
      <c r="NA265" s="305"/>
      <c r="NE265" s="305"/>
      <c r="NI265" s="305"/>
      <c r="NM265" s="305"/>
      <c r="NQ265" s="305"/>
      <c r="NU265" s="305"/>
      <c r="NY265" s="305"/>
      <c r="OC265" s="305"/>
      <c r="OG265" s="305"/>
      <c r="OK265" s="305"/>
      <c r="OO265" s="305"/>
      <c r="OS265" s="305"/>
      <c r="OW265" s="305"/>
      <c r="PA265" s="305"/>
      <c r="PE265" s="305"/>
      <c r="PI265" s="305"/>
      <c r="PM265" s="305"/>
      <c r="PQ265" s="305"/>
      <c r="PU265" s="305"/>
      <c r="PY265" s="305"/>
      <c r="QC265" s="305"/>
      <c r="QG265" s="305"/>
      <c r="QK265" s="305"/>
      <c r="QO265" s="305"/>
      <c r="QS265" s="305"/>
      <c r="QW265" s="305"/>
      <c r="RA265" s="305"/>
      <c r="RE265" s="305"/>
      <c r="RI265" s="305"/>
      <c r="RM265" s="305"/>
      <c r="RQ265" s="305"/>
      <c r="RU265" s="305"/>
      <c r="RY265" s="305"/>
      <c r="SC265" s="305"/>
      <c r="SG265" s="305"/>
      <c r="SK265" s="305"/>
      <c r="SO265" s="305"/>
      <c r="SS265" s="305"/>
      <c r="SW265" s="305"/>
      <c r="TA265" s="305"/>
      <c r="TE265" s="305"/>
      <c r="TI265" s="305"/>
      <c r="TM265" s="305"/>
      <c r="TQ265" s="305"/>
      <c r="TU265" s="305"/>
      <c r="TY265" s="305"/>
      <c r="UC265" s="305"/>
      <c r="UG265" s="305"/>
      <c r="UK265" s="305"/>
      <c r="UO265" s="305"/>
      <c r="US265" s="305"/>
      <c r="UW265" s="305"/>
      <c r="VA265" s="305"/>
      <c r="VE265" s="305"/>
      <c r="VI265" s="305"/>
      <c r="VM265" s="305"/>
      <c r="VQ265" s="305"/>
      <c r="VU265" s="305"/>
      <c r="VY265" s="305"/>
      <c r="WC265" s="305"/>
      <c r="WG265" s="305"/>
      <c r="WK265" s="305"/>
      <c r="WO265" s="305"/>
      <c r="WS265" s="305"/>
      <c r="WW265" s="305"/>
      <c r="XA265" s="305"/>
      <c r="XE265" s="305"/>
      <c r="XI265" s="305"/>
      <c r="XM265" s="305"/>
      <c r="XQ265" s="305"/>
      <c r="XU265" s="305"/>
      <c r="XY265" s="305"/>
      <c r="YC265" s="305"/>
      <c r="YG265" s="305"/>
      <c r="YK265" s="305"/>
      <c r="YO265" s="305"/>
      <c r="YS265" s="305"/>
      <c r="YW265" s="305"/>
      <c r="ZA265" s="305"/>
      <c r="ZE265" s="305"/>
      <c r="ZI265" s="305"/>
      <c r="ZM265" s="305"/>
      <c r="ZQ265" s="305"/>
      <c r="ZU265" s="305"/>
      <c r="ZY265" s="305"/>
      <c r="AAC265" s="305"/>
      <c r="AAG265" s="305"/>
      <c r="AAK265" s="305"/>
      <c r="AAO265" s="305"/>
      <c r="AAS265" s="305"/>
      <c r="AAW265" s="305"/>
      <c r="ABA265" s="305"/>
      <c r="ABE265" s="305"/>
      <c r="ABI265" s="305"/>
      <c r="ABM265" s="305"/>
      <c r="ABQ265" s="305"/>
      <c r="ABU265" s="305"/>
      <c r="ABY265" s="305"/>
      <c r="ACC265" s="305"/>
      <c r="ACG265" s="305"/>
      <c r="ACK265" s="305"/>
      <c r="ACO265" s="305"/>
      <c r="ACS265" s="305"/>
      <c r="ACW265" s="305"/>
      <c r="ADA265" s="305"/>
      <c r="ADE265" s="305"/>
      <c r="ADI265" s="305"/>
      <c r="ADM265" s="305"/>
      <c r="ADQ265" s="305"/>
      <c r="ADU265" s="305"/>
      <c r="ADY265" s="305"/>
      <c r="AEC265" s="305"/>
      <c r="AEG265" s="305"/>
      <c r="AEK265" s="305"/>
      <c r="AEO265" s="305"/>
      <c r="AES265" s="305"/>
      <c r="AEW265" s="305"/>
      <c r="AFA265" s="305"/>
      <c r="AFE265" s="305"/>
      <c r="AFI265" s="305"/>
      <c r="AFM265" s="305"/>
      <c r="AFQ265" s="305"/>
      <c r="AFU265" s="305"/>
      <c r="AFY265" s="305"/>
      <c r="AGC265" s="305"/>
      <c r="AGG265" s="305"/>
      <c r="AGK265" s="305"/>
      <c r="AGO265" s="305"/>
      <c r="AGS265" s="305"/>
      <c r="AGW265" s="305"/>
      <c r="AHA265" s="305"/>
      <c r="AHE265" s="305"/>
      <c r="AHI265" s="305"/>
      <c r="AHM265" s="305"/>
      <c r="AHQ265" s="305"/>
      <c r="AHU265" s="305"/>
      <c r="AHY265" s="305"/>
      <c r="AIC265" s="305"/>
      <c r="AIG265" s="305"/>
      <c r="AIK265" s="305"/>
      <c r="AIO265" s="305"/>
      <c r="AIS265" s="305"/>
      <c r="AIW265" s="305"/>
      <c r="AJA265" s="305"/>
      <c r="AJE265" s="305"/>
      <c r="AJI265" s="305"/>
      <c r="AJM265" s="305"/>
      <c r="AJQ265" s="305"/>
      <c r="AJU265" s="305"/>
      <c r="AJY265" s="305"/>
      <c r="AKC265" s="305"/>
      <c r="AKG265" s="305"/>
      <c r="AKK265" s="305"/>
      <c r="AKO265" s="305"/>
      <c r="AKS265" s="305"/>
      <c r="AKW265" s="305"/>
      <c r="ALA265" s="305"/>
      <c r="ALE265" s="305"/>
      <c r="ALI265" s="305"/>
      <c r="ALM265" s="305"/>
      <c r="ALQ265" s="305"/>
      <c r="ALU265" s="305"/>
      <c r="ALY265" s="305"/>
      <c r="AMC265" s="305"/>
      <c r="AMG265" s="305"/>
      <c r="AMK265" s="305"/>
      <c r="AMO265" s="305"/>
      <c r="AMS265" s="305"/>
      <c r="AMW265" s="305"/>
      <c r="ANA265" s="305"/>
      <c r="ANE265" s="305"/>
      <c r="ANI265" s="305"/>
      <c r="ANM265" s="305"/>
      <c r="ANQ265" s="305"/>
      <c r="ANU265" s="305"/>
      <c r="ANY265" s="305"/>
      <c r="AOC265" s="305"/>
      <c r="AOG265" s="305"/>
      <c r="AOK265" s="305"/>
      <c r="AOO265" s="305"/>
      <c r="AOS265" s="305"/>
      <c r="AOW265" s="305"/>
      <c r="APA265" s="305"/>
      <c r="APE265" s="305"/>
      <c r="API265" s="305"/>
      <c r="APM265" s="305"/>
      <c r="APQ265" s="305"/>
      <c r="APU265" s="305"/>
      <c r="APY265" s="305"/>
      <c r="AQC265" s="305"/>
      <c r="AQG265" s="305"/>
      <c r="AQK265" s="305"/>
      <c r="AQO265" s="305"/>
      <c r="AQS265" s="305"/>
      <c r="AQW265" s="305"/>
      <c r="ARA265" s="305"/>
      <c r="ARE265" s="305"/>
      <c r="ARI265" s="305"/>
      <c r="ARM265" s="305"/>
      <c r="ARQ265" s="305"/>
      <c r="ARU265" s="305"/>
      <c r="ARY265" s="305"/>
      <c r="ASC265" s="305"/>
      <c r="ASG265" s="305"/>
      <c r="ASK265" s="305"/>
      <c r="ASO265" s="305"/>
      <c r="ASS265" s="305"/>
      <c r="ASW265" s="305"/>
      <c r="ATA265" s="305"/>
      <c r="ATE265" s="305"/>
      <c r="ATI265" s="305"/>
      <c r="ATM265" s="305"/>
      <c r="ATQ265" s="305"/>
      <c r="ATU265" s="305"/>
      <c r="ATY265" s="305"/>
      <c r="AUC265" s="305"/>
      <c r="AUG265" s="305"/>
      <c r="AUK265" s="305"/>
      <c r="AUO265" s="305"/>
      <c r="AUS265" s="305"/>
      <c r="AUW265" s="305"/>
      <c r="AVA265" s="305"/>
      <c r="AVE265" s="305"/>
      <c r="AVI265" s="305"/>
      <c r="AVM265" s="305"/>
      <c r="AVQ265" s="305"/>
      <c r="AVU265" s="305"/>
      <c r="AVY265" s="305"/>
      <c r="AWC265" s="305"/>
      <c r="AWG265" s="305"/>
      <c r="AWK265" s="305"/>
      <c r="AWO265" s="305"/>
      <c r="AWS265" s="305"/>
      <c r="AWW265" s="305"/>
      <c r="AXA265" s="305"/>
      <c r="AXE265" s="305"/>
      <c r="AXI265" s="305"/>
      <c r="AXM265" s="305"/>
      <c r="AXQ265" s="305"/>
      <c r="AXU265" s="305"/>
      <c r="AXY265" s="305"/>
      <c r="AYC265" s="305"/>
      <c r="AYG265" s="305"/>
      <c r="AYK265" s="305"/>
      <c r="AYO265" s="305"/>
      <c r="AYS265" s="305"/>
      <c r="AYW265" s="305"/>
      <c r="AZA265" s="305"/>
      <c r="AZE265" s="305"/>
      <c r="AZI265" s="305"/>
      <c r="AZM265" s="305"/>
      <c r="AZQ265" s="305"/>
      <c r="AZU265" s="305"/>
      <c r="AZY265" s="305"/>
      <c r="BAC265" s="305"/>
      <c r="BAG265" s="305"/>
      <c r="BAK265" s="305"/>
      <c r="BAO265" s="305"/>
      <c r="BAS265" s="305"/>
      <c r="BAW265" s="305"/>
      <c r="BBA265" s="305"/>
      <c r="BBE265" s="305"/>
      <c r="BBI265" s="305"/>
      <c r="BBM265" s="305"/>
      <c r="BBQ265" s="305"/>
      <c r="BBU265" s="305"/>
      <c r="BBY265" s="305"/>
      <c r="BCC265" s="305"/>
      <c r="BCG265" s="305"/>
      <c r="BCK265" s="305"/>
      <c r="BCO265" s="305"/>
      <c r="BCS265" s="305"/>
      <c r="BCW265" s="305"/>
      <c r="BDA265" s="305"/>
      <c r="BDE265" s="305"/>
      <c r="BDI265" s="305"/>
      <c r="BDM265" s="305"/>
      <c r="BDQ265" s="305"/>
      <c r="BDU265" s="305"/>
      <c r="BDY265" s="305"/>
      <c r="BEC265" s="305"/>
      <c r="BEG265" s="305"/>
      <c r="BEK265" s="305"/>
      <c r="BEO265" s="305"/>
      <c r="BES265" s="305"/>
      <c r="BEW265" s="305"/>
      <c r="BFA265" s="305"/>
      <c r="BFE265" s="305"/>
      <c r="BFI265" s="305"/>
      <c r="BFM265" s="305"/>
      <c r="BFQ265" s="305"/>
      <c r="BFU265" s="305"/>
      <c r="BFY265" s="305"/>
      <c r="BGC265" s="305"/>
      <c r="BGG265" s="305"/>
      <c r="BGK265" s="305"/>
      <c r="BGO265" s="305"/>
      <c r="BGS265" s="305"/>
      <c r="BGW265" s="305"/>
      <c r="BHA265" s="305"/>
      <c r="BHE265" s="305"/>
      <c r="BHI265" s="305"/>
      <c r="BHM265" s="305"/>
      <c r="BHQ265" s="305"/>
      <c r="BHU265" s="305"/>
      <c r="BHY265" s="305"/>
      <c r="BIC265" s="305"/>
      <c r="BIG265" s="305"/>
      <c r="BIK265" s="305"/>
      <c r="BIO265" s="305"/>
      <c r="BIS265" s="305"/>
      <c r="BIW265" s="305"/>
      <c r="BJA265" s="305"/>
      <c r="BJE265" s="305"/>
      <c r="BJI265" s="305"/>
      <c r="BJM265" s="305"/>
      <c r="BJQ265" s="305"/>
      <c r="BJU265" s="305"/>
      <c r="BJY265" s="305"/>
      <c r="BKC265" s="305"/>
      <c r="BKG265" s="305"/>
      <c r="BKK265" s="305"/>
      <c r="BKO265" s="305"/>
      <c r="BKS265" s="305"/>
      <c r="BKW265" s="305"/>
      <c r="BLA265" s="305"/>
      <c r="BLE265" s="305"/>
      <c r="BLI265" s="305"/>
      <c r="BLM265" s="305"/>
      <c r="BLQ265" s="305"/>
      <c r="BLU265" s="305"/>
      <c r="BLY265" s="305"/>
      <c r="BMC265" s="305"/>
      <c r="BMG265" s="305"/>
      <c r="BMK265" s="305"/>
      <c r="BMO265" s="305"/>
      <c r="BMS265" s="305"/>
      <c r="BMW265" s="305"/>
      <c r="BNA265" s="305"/>
      <c r="BNE265" s="305"/>
      <c r="BNI265" s="305"/>
      <c r="BNM265" s="305"/>
      <c r="BNQ265" s="305"/>
      <c r="BNU265" s="305"/>
      <c r="BNY265" s="305"/>
      <c r="BOC265" s="305"/>
      <c r="BOG265" s="305"/>
      <c r="BOK265" s="305"/>
      <c r="BOO265" s="305"/>
      <c r="BOS265" s="305"/>
      <c r="BOW265" s="305"/>
      <c r="BPA265" s="305"/>
      <c r="BPE265" s="305"/>
      <c r="BPI265" s="305"/>
      <c r="BPM265" s="305"/>
      <c r="BPQ265" s="305"/>
      <c r="BPU265" s="305"/>
      <c r="BPY265" s="305"/>
      <c r="BQC265" s="305"/>
      <c r="BQG265" s="305"/>
      <c r="BQK265" s="305"/>
      <c r="BQO265" s="305"/>
      <c r="BQS265" s="305"/>
      <c r="BQW265" s="305"/>
      <c r="BRA265" s="305"/>
      <c r="BRE265" s="305"/>
      <c r="BRI265" s="305"/>
      <c r="BRM265" s="305"/>
      <c r="BRQ265" s="305"/>
      <c r="BRU265" s="305"/>
      <c r="BRY265" s="305"/>
      <c r="BSC265" s="305"/>
      <c r="BSG265" s="305"/>
      <c r="BSK265" s="305"/>
      <c r="BSO265" s="305"/>
      <c r="BSS265" s="305"/>
      <c r="BSW265" s="305"/>
      <c r="BTA265" s="305"/>
      <c r="BTE265" s="305"/>
      <c r="BTI265" s="305"/>
      <c r="BTM265" s="305"/>
      <c r="BTQ265" s="305"/>
      <c r="BTU265" s="305"/>
      <c r="BTY265" s="305"/>
      <c r="BUC265" s="305"/>
      <c r="BUG265" s="305"/>
      <c r="BUK265" s="305"/>
      <c r="BUO265" s="305"/>
      <c r="BUS265" s="305"/>
      <c r="BUW265" s="305"/>
      <c r="BVA265" s="305"/>
      <c r="BVE265" s="305"/>
      <c r="BVI265" s="305"/>
      <c r="BVM265" s="305"/>
      <c r="BVQ265" s="305"/>
      <c r="BVU265" s="305"/>
      <c r="BVY265" s="305"/>
      <c r="BWC265" s="305"/>
      <c r="BWG265" s="305"/>
      <c r="BWK265" s="305"/>
      <c r="BWO265" s="305"/>
      <c r="BWS265" s="305"/>
      <c r="BWW265" s="305"/>
      <c r="BXA265" s="305"/>
      <c r="BXE265" s="305"/>
      <c r="BXI265" s="305"/>
      <c r="BXM265" s="305"/>
      <c r="BXQ265" s="305"/>
      <c r="BXU265" s="305"/>
      <c r="BXY265" s="305"/>
      <c r="BYC265" s="305"/>
      <c r="BYG265" s="305"/>
      <c r="BYK265" s="305"/>
      <c r="BYO265" s="305"/>
      <c r="BYS265" s="305"/>
      <c r="BYW265" s="305"/>
      <c r="BZA265" s="305"/>
      <c r="BZE265" s="305"/>
      <c r="BZI265" s="305"/>
      <c r="BZM265" s="305"/>
      <c r="BZQ265" s="305"/>
      <c r="BZU265" s="305"/>
      <c r="BZY265" s="305"/>
      <c r="CAC265" s="305"/>
      <c r="CAG265" s="305"/>
      <c r="CAK265" s="305"/>
      <c r="CAO265" s="305"/>
      <c r="CAS265" s="305"/>
      <c r="CAW265" s="305"/>
      <c r="CBA265" s="305"/>
      <c r="CBE265" s="305"/>
      <c r="CBI265" s="305"/>
      <c r="CBM265" s="305"/>
      <c r="CBQ265" s="305"/>
      <c r="CBU265" s="305"/>
      <c r="CBY265" s="305"/>
      <c r="CCC265" s="305"/>
      <c r="CCG265" s="305"/>
      <c r="CCK265" s="305"/>
      <c r="CCO265" s="305"/>
      <c r="CCS265" s="305"/>
      <c r="CCW265" s="305"/>
      <c r="CDA265" s="305"/>
      <c r="CDE265" s="305"/>
      <c r="CDI265" s="305"/>
      <c r="CDM265" s="305"/>
      <c r="CDQ265" s="305"/>
      <c r="CDU265" s="305"/>
      <c r="CDY265" s="305"/>
      <c r="CEC265" s="305"/>
      <c r="CEG265" s="305"/>
      <c r="CEK265" s="305"/>
      <c r="CEO265" s="305"/>
      <c r="CES265" s="305"/>
      <c r="CEW265" s="305"/>
      <c r="CFA265" s="305"/>
      <c r="CFE265" s="305"/>
      <c r="CFI265" s="305"/>
      <c r="CFM265" s="305"/>
      <c r="CFQ265" s="305"/>
      <c r="CFU265" s="305"/>
      <c r="CFY265" s="305"/>
      <c r="CGC265" s="305"/>
      <c r="CGG265" s="305"/>
      <c r="CGK265" s="305"/>
      <c r="CGO265" s="305"/>
      <c r="CGS265" s="305"/>
      <c r="CGW265" s="305"/>
      <c r="CHA265" s="305"/>
      <c r="CHE265" s="305"/>
      <c r="CHI265" s="305"/>
      <c r="CHM265" s="305"/>
      <c r="CHQ265" s="305"/>
      <c r="CHU265" s="305"/>
      <c r="CHY265" s="305"/>
      <c r="CIC265" s="305"/>
      <c r="CIG265" s="305"/>
      <c r="CIK265" s="305"/>
      <c r="CIO265" s="305"/>
      <c r="CIS265" s="305"/>
      <c r="CIW265" s="305"/>
      <c r="CJA265" s="305"/>
      <c r="CJE265" s="305"/>
      <c r="CJI265" s="305"/>
      <c r="CJM265" s="305"/>
      <c r="CJQ265" s="305"/>
      <c r="CJU265" s="305"/>
      <c r="CJY265" s="305"/>
      <c r="CKC265" s="305"/>
      <c r="CKG265" s="305"/>
      <c r="CKK265" s="305"/>
      <c r="CKO265" s="305"/>
      <c r="CKS265" s="305"/>
      <c r="CKW265" s="305"/>
      <c r="CLA265" s="305"/>
      <c r="CLE265" s="305"/>
      <c r="CLI265" s="305"/>
      <c r="CLM265" s="305"/>
      <c r="CLQ265" s="305"/>
      <c r="CLU265" s="305"/>
      <c r="CLY265" s="305"/>
      <c r="CMC265" s="305"/>
      <c r="CMG265" s="305"/>
      <c r="CMK265" s="305"/>
      <c r="CMO265" s="305"/>
      <c r="CMS265" s="305"/>
      <c r="CMW265" s="305"/>
      <c r="CNA265" s="305"/>
      <c r="CNE265" s="305"/>
      <c r="CNI265" s="305"/>
      <c r="CNM265" s="305"/>
      <c r="CNQ265" s="305"/>
      <c r="CNU265" s="305"/>
      <c r="CNY265" s="305"/>
      <c r="COC265" s="305"/>
      <c r="COG265" s="305"/>
      <c r="COK265" s="305"/>
      <c r="COO265" s="305"/>
      <c r="COS265" s="305"/>
      <c r="COW265" s="305"/>
      <c r="CPA265" s="305"/>
      <c r="CPE265" s="305"/>
      <c r="CPI265" s="305"/>
      <c r="CPM265" s="305"/>
      <c r="CPQ265" s="305"/>
      <c r="CPU265" s="305"/>
      <c r="CPY265" s="305"/>
      <c r="CQC265" s="305"/>
      <c r="CQG265" s="305"/>
      <c r="CQK265" s="305"/>
      <c r="CQO265" s="305"/>
      <c r="CQS265" s="305"/>
      <c r="CQW265" s="305"/>
      <c r="CRA265" s="305"/>
      <c r="CRE265" s="305"/>
      <c r="CRI265" s="305"/>
      <c r="CRM265" s="305"/>
      <c r="CRQ265" s="305"/>
      <c r="CRU265" s="305"/>
      <c r="CRY265" s="305"/>
      <c r="CSC265" s="305"/>
      <c r="CSG265" s="305"/>
      <c r="CSK265" s="305"/>
      <c r="CSO265" s="305"/>
      <c r="CSS265" s="305"/>
      <c r="CSW265" s="305"/>
      <c r="CTA265" s="305"/>
      <c r="CTE265" s="305"/>
      <c r="CTI265" s="305"/>
      <c r="CTM265" s="305"/>
      <c r="CTQ265" s="305"/>
      <c r="CTU265" s="305"/>
      <c r="CTY265" s="305"/>
      <c r="CUC265" s="305"/>
      <c r="CUG265" s="305"/>
      <c r="CUK265" s="305"/>
      <c r="CUO265" s="305"/>
      <c r="CUS265" s="305"/>
      <c r="CUW265" s="305"/>
      <c r="CVA265" s="305"/>
      <c r="CVE265" s="305"/>
      <c r="CVI265" s="305"/>
      <c r="CVM265" s="305"/>
      <c r="CVQ265" s="305"/>
      <c r="CVU265" s="305"/>
      <c r="CVY265" s="305"/>
      <c r="CWC265" s="305"/>
      <c r="CWG265" s="305"/>
      <c r="CWK265" s="305"/>
      <c r="CWO265" s="305"/>
      <c r="CWS265" s="305"/>
      <c r="CWW265" s="305"/>
      <c r="CXA265" s="305"/>
      <c r="CXE265" s="305"/>
      <c r="CXI265" s="305"/>
      <c r="CXM265" s="305"/>
      <c r="CXQ265" s="305"/>
      <c r="CXU265" s="305"/>
      <c r="CXY265" s="305"/>
      <c r="CYC265" s="305"/>
      <c r="CYG265" s="305"/>
      <c r="CYK265" s="305"/>
      <c r="CYO265" s="305"/>
      <c r="CYS265" s="305"/>
      <c r="CYW265" s="305"/>
      <c r="CZA265" s="305"/>
      <c r="CZE265" s="305"/>
      <c r="CZI265" s="305"/>
      <c r="CZM265" s="305"/>
      <c r="CZQ265" s="305"/>
      <c r="CZU265" s="305"/>
      <c r="CZY265" s="305"/>
      <c r="DAC265" s="305"/>
      <c r="DAG265" s="305"/>
      <c r="DAK265" s="305"/>
      <c r="DAO265" s="305"/>
      <c r="DAS265" s="305"/>
      <c r="DAW265" s="305"/>
      <c r="DBA265" s="305"/>
      <c r="DBE265" s="305"/>
      <c r="DBI265" s="305"/>
      <c r="DBM265" s="305"/>
      <c r="DBQ265" s="305"/>
      <c r="DBU265" s="305"/>
      <c r="DBY265" s="305"/>
      <c r="DCC265" s="305"/>
      <c r="DCG265" s="305"/>
      <c r="DCK265" s="305"/>
      <c r="DCO265" s="305"/>
      <c r="DCS265" s="305"/>
      <c r="DCW265" s="305"/>
      <c r="DDA265" s="305"/>
      <c r="DDE265" s="305"/>
      <c r="DDI265" s="305"/>
      <c r="DDM265" s="305"/>
      <c r="DDQ265" s="305"/>
      <c r="DDU265" s="305"/>
      <c r="DDY265" s="305"/>
      <c r="DEC265" s="305"/>
      <c r="DEG265" s="305"/>
      <c r="DEK265" s="305"/>
      <c r="DEO265" s="305"/>
      <c r="DES265" s="305"/>
      <c r="DEW265" s="305"/>
      <c r="DFA265" s="305"/>
      <c r="DFE265" s="305"/>
      <c r="DFI265" s="305"/>
      <c r="DFM265" s="305"/>
      <c r="DFQ265" s="305"/>
      <c r="DFU265" s="305"/>
      <c r="DFY265" s="305"/>
      <c r="DGC265" s="305"/>
      <c r="DGG265" s="305"/>
      <c r="DGK265" s="305"/>
      <c r="DGO265" s="305"/>
      <c r="DGS265" s="305"/>
      <c r="DGW265" s="305"/>
      <c r="DHA265" s="305"/>
      <c r="DHE265" s="305"/>
      <c r="DHI265" s="305"/>
      <c r="DHM265" s="305"/>
      <c r="DHQ265" s="305"/>
      <c r="DHU265" s="305"/>
      <c r="DHY265" s="305"/>
      <c r="DIC265" s="305"/>
      <c r="DIG265" s="305"/>
      <c r="DIK265" s="305"/>
      <c r="DIO265" s="305"/>
      <c r="DIS265" s="305"/>
      <c r="DIW265" s="305"/>
      <c r="DJA265" s="305"/>
      <c r="DJE265" s="305"/>
      <c r="DJI265" s="305"/>
      <c r="DJM265" s="305"/>
      <c r="DJQ265" s="305"/>
      <c r="DJU265" s="305"/>
      <c r="DJY265" s="305"/>
      <c r="DKC265" s="305"/>
      <c r="DKG265" s="305"/>
      <c r="DKK265" s="305"/>
      <c r="DKO265" s="305"/>
      <c r="DKS265" s="305"/>
      <c r="DKW265" s="305"/>
      <c r="DLA265" s="305"/>
      <c r="DLE265" s="305"/>
      <c r="DLI265" s="305"/>
      <c r="DLM265" s="305"/>
      <c r="DLQ265" s="305"/>
      <c r="DLU265" s="305"/>
      <c r="DLY265" s="305"/>
      <c r="DMC265" s="305"/>
      <c r="DMG265" s="305"/>
      <c r="DMK265" s="305"/>
      <c r="DMO265" s="305"/>
      <c r="DMS265" s="305"/>
      <c r="DMW265" s="305"/>
      <c r="DNA265" s="305"/>
      <c r="DNE265" s="305"/>
      <c r="DNI265" s="305"/>
      <c r="DNM265" s="305"/>
      <c r="DNQ265" s="305"/>
      <c r="DNU265" s="305"/>
      <c r="DNY265" s="305"/>
      <c r="DOC265" s="305"/>
      <c r="DOG265" s="305"/>
      <c r="DOK265" s="305"/>
      <c r="DOO265" s="305"/>
      <c r="DOS265" s="305"/>
      <c r="DOW265" s="305"/>
      <c r="DPA265" s="305"/>
      <c r="DPE265" s="305"/>
      <c r="DPI265" s="305"/>
      <c r="DPM265" s="305"/>
      <c r="DPQ265" s="305"/>
      <c r="DPU265" s="305"/>
      <c r="DPY265" s="305"/>
      <c r="DQC265" s="305"/>
      <c r="DQG265" s="305"/>
      <c r="DQK265" s="305"/>
      <c r="DQO265" s="305"/>
      <c r="DQS265" s="305"/>
      <c r="DQW265" s="305"/>
      <c r="DRA265" s="305"/>
      <c r="DRE265" s="305"/>
      <c r="DRI265" s="305"/>
      <c r="DRM265" s="305"/>
      <c r="DRQ265" s="305"/>
      <c r="DRU265" s="305"/>
      <c r="DRY265" s="305"/>
      <c r="DSC265" s="305"/>
      <c r="DSG265" s="305"/>
      <c r="DSK265" s="305"/>
      <c r="DSO265" s="305"/>
      <c r="DSS265" s="305"/>
      <c r="DSW265" s="305"/>
      <c r="DTA265" s="305"/>
      <c r="DTE265" s="305"/>
      <c r="DTI265" s="305"/>
      <c r="DTM265" s="305"/>
      <c r="DTQ265" s="305"/>
      <c r="DTU265" s="305"/>
      <c r="DTY265" s="305"/>
      <c r="DUC265" s="305"/>
      <c r="DUG265" s="305"/>
      <c r="DUK265" s="305"/>
      <c r="DUO265" s="305"/>
      <c r="DUS265" s="305"/>
      <c r="DUW265" s="305"/>
      <c r="DVA265" s="305"/>
      <c r="DVE265" s="305"/>
      <c r="DVI265" s="305"/>
      <c r="DVM265" s="305"/>
      <c r="DVQ265" s="305"/>
      <c r="DVU265" s="305"/>
      <c r="DVY265" s="305"/>
      <c r="DWC265" s="305"/>
      <c r="DWG265" s="305"/>
      <c r="DWK265" s="305"/>
      <c r="DWO265" s="305"/>
      <c r="DWS265" s="305"/>
      <c r="DWW265" s="305"/>
      <c r="DXA265" s="305"/>
      <c r="DXE265" s="305"/>
      <c r="DXI265" s="305"/>
      <c r="DXM265" s="305"/>
      <c r="DXQ265" s="305"/>
      <c r="DXU265" s="305"/>
      <c r="DXY265" s="305"/>
      <c r="DYC265" s="305"/>
      <c r="DYG265" s="305"/>
      <c r="DYK265" s="305"/>
      <c r="DYO265" s="305"/>
      <c r="DYS265" s="305"/>
      <c r="DYW265" s="305"/>
      <c r="DZA265" s="305"/>
      <c r="DZE265" s="305"/>
      <c r="DZI265" s="305"/>
      <c r="DZM265" s="305"/>
      <c r="DZQ265" s="305"/>
      <c r="DZU265" s="305"/>
      <c r="DZY265" s="305"/>
      <c r="EAC265" s="305"/>
      <c r="EAG265" s="305"/>
      <c r="EAK265" s="305"/>
      <c r="EAO265" s="305"/>
      <c r="EAS265" s="305"/>
      <c r="EAW265" s="305"/>
      <c r="EBA265" s="305"/>
      <c r="EBE265" s="305"/>
      <c r="EBI265" s="305"/>
      <c r="EBM265" s="305"/>
      <c r="EBQ265" s="305"/>
      <c r="EBU265" s="305"/>
      <c r="EBY265" s="305"/>
      <c r="ECC265" s="305"/>
      <c r="ECG265" s="305"/>
      <c r="ECK265" s="305"/>
      <c r="ECO265" s="305"/>
      <c r="ECS265" s="305"/>
      <c r="ECW265" s="305"/>
      <c r="EDA265" s="305"/>
      <c r="EDE265" s="305"/>
      <c r="EDI265" s="305"/>
      <c r="EDM265" s="305"/>
      <c r="EDQ265" s="305"/>
      <c r="EDU265" s="305"/>
      <c r="EDY265" s="305"/>
      <c r="EEC265" s="305"/>
      <c r="EEG265" s="305"/>
      <c r="EEK265" s="305"/>
      <c r="EEO265" s="305"/>
      <c r="EES265" s="305"/>
      <c r="EEW265" s="305"/>
      <c r="EFA265" s="305"/>
      <c r="EFE265" s="305"/>
      <c r="EFI265" s="305"/>
      <c r="EFM265" s="305"/>
      <c r="EFQ265" s="305"/>
      <c r="EFU265" s="305"/>
      <c r="EFY265" s="305"/>
      <c r="EGC265" s="305"/>
      <c r="EGG265" s="305"/>
      <c r="EGK265" s="305"/>
      <c r="EGO265" s="305"/>
      <c r="EGS265" s="305"/>
      <c r="EGW265" s="305"/>
      <c r="EHA265" s="305"/>
      <c r="EHE265" s="305"/>
      <c r="EHI265" s="305"/>
      <c r="EHM265" s="305"/>
      <c r="EHQ265" s="305"/>
      <c r="EHU265" s="305"/>
      <c r="EHY265" s="305"/>
      <c r="EIC265" s="305"/>
      <c r="EIG265" s="305"/>
      <c r="EIK265" s="305"/>
      <c r="EIO265" s="305"/>
      <c r="EIS265" s="305"/>
      <c r="EIW265" s="305"/>
      <c r="EJA265" s="305"/>
      <c r="EJE265" s="305"/>
      <c r="EJI265" s="305"/>
      <c r="EJM265" s="305"/>
      <c r="EJQ265" s="305"/>
      <c r="EJU265" s="305"/>
      <c r="EJY265" s="305"/>
      <c r="EKC265" s="305"/>
      <c r="EKG265" s="305"/>
      <c r="EKK265" s="305"/>
      <c r="EKO265" s="305"/>
      <c r="EKS265" s="305"/>
      <c r="EKW265" s="305"/>
      <c r="ELA265" s="305"/>
      <c r="ELE265" s="305"/>
      <c r="ELI265" s="305"/>
      <c r="ELM265" s="305"/>
      <c r="ELQ265" s="305"/>
      <c r="ELU265" s="305"/>
      <c r="ELY265" s="305"/>
      <c r="EMC265" s="305"/>
      <c r="EMG265" s="305"/>
      <c r="EMK265" s="305"/>
      <c r="EMO265" s="305"/>
      <c r="EMS265" s="305"/>
      <c r="EMW265" s="305"/>
      <c r="ENA265" s="305"/>
      <c r="ENE265" s="305"/>
      <c r="ENI265" s="305"/>
      <c r="ENM265" s="305"/>
      <c r="ENQ265" s="305"/>
      <c r="ENU265" s="305"/>
      <c r="ENY265" s="305"/>
      <c r="EOC265" s="305"/>
      <c r="EOG265" s="305"/>
      <c r="EOK265" s="305"/>
      <c r="EOO265" s="305"/>
      <c r="EOS265" s="305"/>
      <c r="EOW265" s="305"/>
      <c r="EPA265" s="305"/>
      <c r="EPE265" s="305"/>
      <c r="EPI265" s="305"/>
      <c r="EPM265" s="305"/>
      <c r="EPQ265" s="305"/>
      <c r="EPU265" s="305"/>
      <c r="EPY265" s="305"/>
      <c r="EQC265" s="305"/>
      <c r="EQG265" s="305"/>
      <c r="EQK265" s="305"/>
      <c r="EQO265" s="305"/>
      <c r="EQS265" s="305"/>
      <c r="EQW265" s="305"/>
      <c r="ERA265" s="305"/>
      <c r="ERE265" s="305"/>
      <c r="ERI265" s="305"/>
      <c r="ERM265" s="305"/>
      <c r="ERQ265" s="305"/>
      <c r="ERU265" s="305"/>
      <c r="ERY265" s="305"/>
      <c r="ESC265" s="305"/>
      <c r="ESG265" s="305"/>
      <c r="ESK265" s="305"/>
      <c r="ESO265" s="305"/>
      <c r="ESS265" s="305"/>
      <c r="ESW265" s="305"/>
      <c r="ETA265" s="305"/>
      <c r="ETE265" s="305"/>
      <c r="ETI265" s="305"/>
      <c r="ETM265" s="305"/>
      <c r="ETQ265" s="305"/>
      <c r="ETU265" s="305"/>
      <c r="ETY265" s="305"/>
      <c r="EUC265" s="305"/>
      <c r="EUG265" s="305"/>
      <c r="EUK265" s="305"/>
      <c r="EUO265" s="305"/>
      <c r="EUS265" s="305"/>
      <c r="EUW265" s="305"/>
      <c r="EVA265" s="305"/>
      <c r="EVE265" s="305"/>
      <c r="EVI265" s="305"/>
      <c r="EVM265" s="305"/>
      <c r="EVQ265" s="305"/>
      <c r="EVU265" s="305"/>
      <c r="EVY265" s="305"/>
      <c r="EWC265" s="305"/>
      <c r="EWG265" s="305"/>
      <c r="EWK265" s="305"/>
      <c r="EWO265" s="305"/>
      <c r="EWS265" s="305"/>
      <c r="EWW265" s="305"/>
      <c r="EXA265" s="305"/>
      <c r="EXE265" s="305"/>
      <c r="EXI265" s="305"/>
      <c r="EXM265" s="305"/>
      <c r="EXQ265" s="305"/>
      <c r="EXU265" s="305"/>
      <c r="EXY265" s="305"/>
      <c r="EYC265" s="305"/>
      <c r="EYG265" s="305"/>
      <c r="EYK265" s="305"/>
      <c r="EYO265" s="305"/>
      <c r="EYS265" s="305"/>
      <c r="EYW265" s="305"/>
      <c r="EZA265" s="305"/>
      <c r="EZE265" s="305"/>
      <c r="EZI265" s="305"/>
      <c r="EZM265" s="305"/>
      <c r="EZQ265" s="305"/>
      <c r="EZU265" s="305"/>
      <c r="EZY265" s="305"/>
      <c r="FAC265" s="305"/>
      <c r="FAG265" s="305"/>
      <c r="FAK265" s="305"/>
      <c r="FAO265" s="305"/>
      <c r="FAS265" s="305"/>
      <c r="FAW265" s="305"/>
      <c r="FBA265" s="305"/>
      <c r="FBE265" s="305"/>
      <c r="FBI265" s="305"/>
      <c r="FBM265" s="305"/>
      <c r="FBQ265" s="305"/>
      <c r="FBU265" s="305"/>
      <c r="FBY265" s="305"/>
      <c r="FCC265" s="305"/>
      <c r="FCG265" s="305"/>
      <c r="FCK265" s="305"/>
      <c r="FCO265" s="305"/>
      <c r="FCS265" s="305"/>
      <c r="FCW265" s="305"/>
      <c r="FDA265" s="305"/>
      <c r="FDE265" s="305"/>
      <c r="FDI265" s="305"/>
      <c r="FDM265" s="305"/>
      <c r="FDQ265" s="305"/>
      <c r="FDU265" s="305"/>
      <c r="FDY265" s="305"/>
      <c r="FEC265" s="305"/>
      <c r="FEG265" s="305"/>
      <c r="FEK265" s="305"/>
      <c r="FEO265" s="305"/>
      <c r="FES265" s="305"/>
      <c r="FEW265" s="305"/>
      <c r="FFA265" s="305"/>
      <c r="FFE265" s="305"/>
      <c r="FFI265" s="305"/>
      <c r="FFM265" s="305"/>
      <c r="FFQ265" s="305"/>
      <c r="FFU265" s="305"/>
      <c r="FFY265" s="305"/>
      <c r="FGC265" s="305"/>
      <c r="FGG265" s="305"/>
      <c r="FGK265" s="305"/>
      <c r="FGO265" s="305"/>
      <c r="FGS265" s="305"/>
      <c r="FGW265" s="305"/>
      <c r="FHA265" s="305"/>
      <c r="FHE265" s="305"/>
      <c r="FHI265" s="305"/>
      <c r="FHM265" s="305"/>
      <c r="FHQ265" s="305"/>
      <c r="FHU265" s="305"/>
      <c r="FHY265" s="305"/>
      <c r="FIC265" s="305"/>
      <c r="FIG265" s="305"/>
      <c r="FIK265" s="305"/>
      <c r="FIO265" s="305"/>
      <c r="FIS265" s="305"/>
      <c r="FIW265" s="305"/>
      <c r="FJA265" s="305"/>
      <c r="FJE265" s="305"/>
      <c r="FJI265" s="305"/>
      <c r="FJM265" s="305"/>
      <c r="FJQ265" s="305"/>
      <c r="FJU265" s="305"/>
      <c r="FJY265" s="305"/>
      <c r="FKC265" s="305"/>
      <c r="FKG265" s="305"/>
      <c r="FKK265" s="305"/>
      <c r="FKO265" s="305"/>
      <c r="FKS265" s="305"/>
      <c r="FKW265" s="305"/>
      <c r="FLA265" s="305"/>
      <c r="FLE265" s="305"/>
      <c r="FLI265" s="305"/>
      <c r="FLM265" s="305"/>
      <c r="FLQ265" s="305"/>
      <c r="FLU265" s="305"/>
      <c r="FLY265" s="305"/>
      <c r="FMC265" s="305"/>
      <c r="FMG265" s="305"/>
      <c r="FMK265" s="305"/>
      <c r="FMO265" s="305"/>
      <c r="FMS265" s="305"/>
      <c r="FMW265" s="305"/>
      <c r="FNA265" s="305"/>
      <c r="FNE265" s="305"/>
      <c r="FNI265" s="305"/>
      <c r="FNM265" s="305"/>
      <c r="FNQ265" s="305"/>
      <c r="FNU265" s="305"/>
      <c r="FNY265" s="305"/>
      <c r="FOC265" s="305"/>
      <c r="FOG265" s="305"/>
      <c r="FOK265" s="305"/>
      <c r="FOO265" s="305"/>
      <c r="FOS265" s="305"/>
      <c r="FOW265" s="305"/>
      <c r="FPA265" s="305"/>
      <c r="FPE265" s="305"/>
      <c r="FPI265" s="305"/>
      <c r="FPM265" s="305"/>
      <c r="FPQ265" s="305"/>
      <c r="FPU265" s="305"/>
      <c r="FPY265" s="305"/>
      <c r="FQC265" s="305"/>
      <c r="FQG265" s="305"/>
      <c r="FQK265" s="305"/>
      <c r="FQO265" s="305"/>
      <c r="FQS265" s="305"/>
      <c r="FQW265" s="305"/>
      <c r="FRA265" s="305"/>
      <c r="FRE265" s="305"/>
      <c r="FRI265" s="305"/>
      <c r="FRM265" s="305"/>
      <c r="FRQ265" s="305"/>
      <c r="FRU265" s="305"/>
      <c r="FRY265" s="305"/>
      <c r="FSC265" s="305"/>
      <c r="FSG265" s="305"/>
      <c r="FSK265" s="305"/>
      <c r="FSO265" s="305"/>
      <c r="FSS265" s="305"/>
      <c r="FSW265" s="305"/>
      <c r="FTA265" s="305"/>
      <c r="FTE265" s="305"/>
      <c r="FTI265" s="305"/>
      <c r="FTM265" s="305"/>
      <c r="FTQ265" s="305"/>
      <c r="FTU265" s="305"/>
      <c r="FTY265" s="305"/>
      <c r="FUC265" s="305"/>
      <c r="FUG265" s="305"/>
      <c r="FUK265" s="305"/>
      <c r="FUO265" s="305"/>
      <c r="FUS265" s="305"/>
      <c r="FUW265" s="305"/>
      <c r="FVA265" s="305"/>
      <c r="FVE265" s="305"/>
      <c r="FVI265" s="305"/>
      <c r="FVM265" s="305"/>
      <c r="FVQ265" s="305"/>
      <c r="FVU265" s="305"/>
      <c r="FVY265" s="305"/>
      <c r="FWC265" s="305"/>
      <c r="FWG265" s="305"/>
      <c r="FWK265" s="305"/>
      <c r="FWO265" s="305"/>
      <c r="FWS265" s="305"/>
      <c r="FWW265" s="305"/>
      <c r="FXA265" s="305"/>
      <c r="FXE265" s="305"/>
      <c r="FXI265" s="305"/>
      <c r="FXM265" s="305"/>
      <c r="FXQ265" s="305"/>
      <c r="FXU265" s="305"/>
      <c r="FXY265" s="305"/>
      <c r="FYC265" s="305"/>
      <c r="FYG265" s="305"/>
      <c r="FYK265" s="305"/>
      <c r="FYO265" s="305"/>
      <c r="FYS265" s="305"/>
      <c r="FYW265" s="305"/>
      <c r="FZA265" s="305"/>
      <c r="FZE265" s="305"/>
      <c r="FZI265" s="305"/>
      <c r="FZM265" s="305"/>
      <c r="FZQ265" s="305"/>
      <c r="FZU265" s="305"/>
      <c r="FZY265" s="305"/>
      <c r="GAC265" s="305"/>
      <c r="GAG265" s="305"/>
      <c r="GAK265" s="305"/>
      <c r="GAO265" s="305"/>
      <c r="GAS265" s="305"/>
      <c r="GAW265" s="305"/>
      <c r="GBA265" s="305"/>
      <c r="GBE265" s="305"/>
      <c r="GBI265" s="305"/>
      <c r="GBM265" s="305"/>
      <c r="GBQ265" s="305"/>
      <c r="GBU265" s="305"/>
      <c r="GBY265" s="305"/>
      <c r="GCC265" s="305"/>
      <c r="GCG265" s="305"/>
      <c r="GCK265" s="305"/>
      <c r="GCO265" s="305"/>
      <c r="GCS265" s="305"/>
      <c r="GCW265" s="305"/>
      <c r="GDA265" s="305"/>
      <c r="GDE265" s="305"/>
      <c r="GDI265" s="305"/>
      <c r="GDM265" s="305"/>
      <c r="GDQ265" s="305"/>
      <c r="GDU265" s="305"/>
      <c r="GDY265" s="305"/>
      <c r="GEC265" s="305"/>
      <c r="GEG265" s="305"/>
      <c r="GEK265" s="305"/>
      <c r="GEO265" s="305"/>
      <c r="GES265" s="305"/>
      <c r="GEW265" s="305"/>
      <c r="GFA265" s="305"/>
      <c r="GFE265" s="305"/>
      <c r="GFI265" s="305"/>
      <c r="GFM265" s="305"/>
      <c r="GFQ265" s="305"/>
      <c r="GFU265" s="305"/>
      <c r="GFY265" s="305"/>
      <c r="GGC265" s="305"/>
      <c r="GGG265" s="305"/>
      <c r="GGK265" s="305"/>
      <c r="GGO265" s="305"/>
      <c r="GGS265" s="305"/>
      <c r="GGW265" s="305"/>
      <c r="GHA265" s="305"/>
      <c r="GHE265" s="305"/>
      <c r="GHI265" s="305"/>
      <c r="GHM265" s="305"/>
      <c r="GHQ265" s="305"/>
      <c r="GHU265" s="305"/>
      <c r="GHY265" s="305"/>
      <c r="GIC265" s="305"/>
      <c r="GIG265" s="305"/>
      <c r="GIK265" s="305"/>
      <c r="GIO265" s="305"/>
      <c r="GIS265" s="305"/>
      <c r="GIW265" s="305"/>
      <c r="GJA265" s="305"/>
      <c r="GJE265" s="305"/>
      <c r="GJI265" s="305"/>
      <c r="GJM265" s="305"/>
      <c r="GJQ265" s="305"/>
      <c r="GJU265" s="305"/>
      <c r="GJY265" s="305"/>
      <c r="GKC265" s="305"/>
      <c r="GKG265" s="305"/>
      <c r="GKK265" s="305"/>
      <c r="GKO265" s="305"/>
      <c r="GKS265" s="305"/>
      <c r="GKW265" s="305"/>
      <c r="GLA265" s="305"/>
      <c r="GLE265" s="305"/>
      <c r="GLI265" s="305"/>
      <c r="GLM265" s="305"/>
      <c r="GLQ265" s="305"/>
      <c r="GLU265" s="305"/>
      <c r="GLY265" s="305"/>
      <c r="GMC265" s="305"/>
      <c r="GMG265" s="305"/>
      <c r="GMK265" s="305"/>
      <c r="GMO265" s="305"/>
      <c r="GMS265" s="305"/>
      <c r="GMW265" s="305"/>
      <c r="GNA265" s="305"/>
      <c r="GNE265" s="305"/>
      <c r="GNI265" s="305"/>
      <c r="GNM265" s="305"/>
      <c r="GNQ265" s="305"/>
      <c r="GNU265" s="305"/>
      <c r="GNY265" s="305"/>
      <c r="GOC265" s="305"/>
      <c r="GOG265" s="305"/>
      <c r="GOK265" s="305"/>
      <c r="GOO265" s="305"/>
      <c r="GOS265" s="305"/>
      <c r="GOW265" s="305"/>
      <c r="GPA265" s="305"/>
      <c r="GPE265" s="305"/>
      <c r="GPI265" s="305"/>
      <c r="GPM265" s="305"/>
      <c r="GPQ265" s="305"/>
      <c r="GPU265" s="305"/>
      <c r="GPY265" s="305"/>
      <c r="GQC265" s="305"/>
      <c r="GQG265" s="305"/>
      <c r="GQK265" s="305"/>
      <c r="GQO265" s="305"/>
      <c r="GQS265" s="305"/>
      <c r="GQW265" s="305"/>
      <c r="GRA265" s="305"/>
      <c r="GRE265" s="305"/>
      <c r="GRI265" s="305"/>
      <c r="GRM265" s="305"/>
      <c r="GRQ265" s="305"/>
      <c r="GRU265" s="305"/>
      <c r="GRY265" s="305"/>
      <c r="GSC265" s="305"/>
      <c r="GSG265" s="305"/>
      <c r="GSK265" s="305"/>
      <c r="GSO265" s="305"/>
      <c r="GSS265" s="305"/>
      <c r="GSW265" s="305"/>
      <c r="GTA265" s="305"/>
      <c r="GTE265" s="305"/>
      <c r="GTI265" s="305"/>
      <c r="GTM265" s="305"/>
      <c r="GTQ265" s="305"/>
      <c r="GTU265" s="305"/>
      <c r="GTY265" s="305"/>
      <c r="GUC265" s="305"/>
      <c r="GUG265" s="305"/>
      <c r="GUK265" s="305"/>
      <c r="GUO265" s="305"/>
      <c r="GUS265" s="305"/>
      <c r="GUW265" s="305"/>
      <c r="GVA265" s="305"/>
      <c r="GVE265" s="305"/>
      <c r="GVI265" s="305"/>
      <c r="GVM265" s="305"/>
      <c r="GVQ265" s="305"/>
      <c r="GVU265" s="305"/>
      <c r="GVY265" s="305"/>
      <c r="GWC265" s="305"/>
      <c r="GWG265" s="305"/>
      <c r="GWK265" s="305"/>
      <c r="GWO265" s="305"/>
      <c r="GWS265" s="305"/>
      <c r="GWW265" s="305"/>
      <c r="GXA265" s="305"/>
      <c r="GXE265" s="305"/>
      <c r="GXI265" s="305"/>
      <c r="GXM265" s="305"/>
      <c r="GXQ265" s="305"/>
      <c r="GXU265" s="305"/>
      <c r="GXY265" s="305"/>
      <c r="GYC265" s="305"/>
      <c r="GYG265" s="305"/>
      <c r="GYK265" s="305"/>
      <c r="GYO265" s="305"/>
      <c r="GYS265" s="305"/>
      <c r="GYW265" s="305"/>
      <c r="GZA265" s="305"/>
      <c r="GZE265" s="305"/>
      <c r="GZI265" s="305"/>
      <c r="GZM265" s="305"/>
      <c r="GZQ265" s="305"/>
      <c r="GZU265" s="305"/>
      <c r="GZY265" s="305"/>
      <c r="HAC265" s="305"/>
      <c r="HAG265" s="305"/>
      <c r="HAK265" s="305"/>
      <c r="HAO265" s="305"/>
      <c r="HAS265" s="305"/>
      <c r="HAW265" s="305"/>
      <c r="HBA265" s="305"/>
      <c r="HBE265" s="305"/>
      <c r="HBI265" s="305"/>
      <c r="HBM265" s="305"/>
      <c r="HBQ265" s="305"/>
      <c r="HBU265" s="305"/>
      <c r="HBY265" s="305"/>
      <c r="HCC265" s="305"/>
      <c r="HCG265" s="305"/>
      <c r="HCK265" s="305"/>
      <c r="HCO265" s="305"/>
      <c r="HCS265" s="305"/>
      <c r="HCW265" s="305"/>
      <c r="HDA265" s="305"/>
      <c r="HDE265" s="305"/>
      <c r="HDI265" s="305"/>
      <c r="HDM265" s="305"/>
      <c r="HDQ265" s="305"/>
      <c r="HDU265" s="305"/>
      <c r="HDY265" s="305"/>
      <c r="HEC265" s="305"/>
      <c r="HEG265" s="305"/>
      <c r="HEK265" s="305"/>
      <c r="HEO265" s="305"/>
      <c r="HES265" s="305"/>
      <c r="HEW265" s="305"/>
      <c r="HFA265" s="305"/>
      <c r="HFE265" s="305"/>
      <c r="HFI265" s="305"/>
      <c r="HFM265" s="305"/>
      <c r="HFQ265" s="305"/>
      <c r="HFU265" s="305"/>
      <c r="HFY265" s="305"/>
      <c r="HGC265" s="305"/>
      <c r="HGG265" s="305"/>
      <c r="HGK265" s="305"/>
      <c r="HGO265" s="305"/>
      <c r="HGS265" s="305"/>
      <c r="HGW265" s="305"/>
      <c r="HHA265" s="305"/>
      <c r="HHE265" s="305"/>
      <c r="HHI265" s="305"/>
      <c r="HHM265" s="305"/>
      <c r="HHQ265" s="305"/>
      <c r="HHU265" s="305"/>
      <c r="HHY265" s="305"/>
      <c r="HIC265" s="305"/>
      <c r="HIG265" s="305"/>
      <c r="HIK265" s="305"/>
      <c r="HIO265" s="305"/>
      <c r="HIS265" s="305"/>
      <c r="HIW265" s="305"/>
      <c r="HJA265" s="305"/>
      <c r="HJE265" s="305"/>
      <c r="HJI265" s="305"/>
      <c r="HJM265" s="305"/>
      <c r="HJQ265" s="305"/>
      <c r="HJU265" s="305"/>
      <c r="HJY265" s="305"/>
      <c r="HKC265" s="305"/>
      <c r="HKG265" s="305"/>
      <c r="HKK265" s="305"/>
      <c r="HKO265" s="305"/>
      <c r="HKS265" s="305"/>
      <c r="HKW265" s="305"/>
      <c r="HLA265" s="305"/>
      <c r="HLE265" s="305"/>
      <c r="HLI265" s="305"/>
      <c r="HLM265" s="305"/>
      <c r="HLQ265" s="305"/>
      <c r="HLU265" s="305"/>
      <c r="HLY265" s="305"/>
      <c r="HMC265" s="305"/>
      <c r="HMG265" s="305"/>
      <c r="HMK265" s="305"/>
      <c r="HMO265" s="305"/>
      <c r="HMS265" s="305"/>
      <c r="HMW265" s="305"/>
      <c r="HNA265" s="305"/>
      <c r="HNE265" s="305"/>
      <c r="HNI265" s="305"/>
      <c r="HNM265" s="305"/>
      <c r="HNQ265" s="305"/>
      <c r="HNU265" s="305"/>
      <c r="HNY265" s="305"/>
      <c r="HOC265" s="305"/>
      <c r="HOG265" s="305"/>
      <c r="HOK265" s="305"/>
      <c r="HOO265" s="305"/>
      <c r="HOS265" s="305"/>
      <c r="HOW265" s="305"/>
      <c r="HPA265" s="305"/>
      <c r="HPE265" s="305"/>
      <c r="HPI265" s="305"/>
      <c r="HPM265" s="305"/>
      <c r="HPQ265" s="305"/>
      <c r="HPU265" s="305"/>
      <c r="HPY265" s="305"/>
      <c r="HQC265" s="305"/>
      <c r="HQG265" s="305"/>
      <c r="HQK265" s="305"/>
      <c r="HQO265" s="305"/>
      <c r="HQS265" s="305"/>
      <c r="HQW265" s="305"/>
      <c r="HRA265" s="305"/>
      <c r="HRE265" s="305"/>
      <c r="HRI265" s="305"/>
      <c r="HRM265" s="305"/>
      <c r="HRQ265" s="305"/>
      <c r="HRU265" s="305"/>
      <c r="HRY265" s="305"/>
      <c r="HSC265" s="305"/>
      <c r="HSG265" s="305"/>
      <c r="HSK265" s="305"/>
      <c r="HSO265" s="305"/>
      <c r="HSS265" s="305"/>
      <c r="HSW265" s="305"/>
      <c r="HTA265" s="305"/>
      <c r="HTE265" s="305"/>
      <c r="HTI265" s="305"/>
      <c r="HTM265" s="305"/>
      <c r="HTQ265" s="305"/>
      <c r="HTU265" s="305"/>
      <c r="HTY265" s="305"/>
      <c r="HUC265" s="305"/>
      <c r="HUG265" s="305"/>
      <c r="HUK265" s="305"/>
      <c r="HUO265" s="305"/>
      <c r="HUS265" s="305"/>
      <c r="HUW265" s="305"/>
      <c r="HVA265" s="305"/>
      <c r="HVE265" s="305"/>
      <c r="HVI265" s="305"/>
      <c r="HVM265" s="305"/>
      <c r="HVQ265" s="305"/>
      <c r="HVU265" s="305"/>
      <c r="HVY265" s="305"/>
      <c r="HWC265" s="305"/>
      <c r="HWG265" s="305"/>
      <c r="HWK265" s="305"/>
      <c r="HWO265" s="305"/>
      <c r="HWS265" s="305"/>
      <c r="HWW265" s="305"/>
      <c r="HXA265" s="305"/>
      <c r="HXE265" s="305"/>
      <c r="HXI265" s="305"/>
      <c r="HXM265" s="305"/>
      <c r="HXQ265" s="305"/>
      <c r="HXU265" s="305"/>
      <c r="HXY265" s="305"/>
      <c r="HYC265" s="305"/>
      <c r="HYG265" s="305"/>
      <c r="HYK265" s="305"/>
      <c r="HYO265" s="305"/>
      <c r="HYS265" s="305"/>
      <c r="HYW265" s="305"/>
      <c r="HZA265" s="305"/>
      <c r="HZE265" s="305"/>
      <c r="HZI265" s="305"/>
      <c r="HZM265" s="305"/>
      <c r="HZQ265" s="305"/>
      <c r="HZU265" s="305"/>
      <c r="HZY265" s="305"/>
      <c r="IAC265" s="305"/>
      <c r="IAG265" s="305"/>
      <c r="IAK265" s="305"/>
      <c r="IAO265" s="305"/>
      <c r="IAS265" s="305"/>
      <c r="IAW265" s="305"/>
      <c r="IBA265" s="305"/>
      <c r="IBE265" s="305"/>
      <c r="IBI265" s="305"/>
      <c r="IBM265" s="305"/>
      <c r="IBQ265" s="305"/>
      <c r="IBU265" s="305"/>
      <c r="IBY265" s="305"/>
      <c r="ICC265" s="305"/>
      <c r="ICG265" s="305"/>
      <c r="ICK265" s="305"/>
      <c r="ICO265" s="305"/>
      <c r="ICS265" s="305"/>
      <c r="ICW265" s="305"/>
      <c r="IDA265" s="305"/>
      <c r="IDE265" s="305"/>
      <c r="IDI265" s="305"/>
      <c r="IDM265" s="305"/>
      <c r="IDQ265" s="305"/>
      <c r="IDU265" s="305"/>
      <c r="IDY265" s="305"/>
      <c r="IEC265" s="305"/>
      <c r="IEG265" s="305"/>
      <c r="IEK265" s="305"/>
      <c r="IEO265" s="305"/>
      <c r="IES265" s="305"/>
      <c r="IEW265" s="305"/>
      <c r="IFA265" s="305"/>
      <c r="IFE265" s="305"/>
      <c r="IFI265" s="305"/>
      <c r="IFM265" s="305"/>
      <c r="IFQ265" s="305"/>
      <c r="IFU265" s="305"/>
      <c r="IFY265" s="305"/>
      <c r="IGC265" s="305"/>
      <c r="IGG265" s="305"/>
      <c r="IGK265" s="305"/>
      <c r="IGO265" s="305"/>
      <c r="IGS265" s="305"/>
      <c r="IGW265" s="305"/>
      <c r="IHA265" s="305"/>
      <c r="IHE265" s="305"/>
      <c r="IHI265" s="305"/>
      <c r="IHM265" s="305"/>
      <c r="IHQ265" s="305"/>
      <c r="IHU265" s="305"/>
      <c r="IHY265" s="305"/>
      <c r="IIC265" s="305"/>
      <c r="IIG265" s="305"/>
      <c r="IIK265" s="305"/>
      <c r="IIO265" s="305"/>
      <c r="IIS265" s="305"/>
      <c r="IIW265" s="305"/>
      <c r="IJA265" s="305"/>
      <c r="IJE265" s="305"/>
      <c r="IJI265" s="305"/>
      <c r="IJM265" s="305"/>
      <c r="IJQ265" s="305"/>
      <c r="IJU265" s="305"/>
      <c r="IJY265" s="305"/>
      <c r="IKC265" s="305"/>
      <c r="IKG265" s="305"/>
      <c r="IKK265" s="305"/>
      <c r="IKO265" s="305"/>
      <c r="IKS265" s="305"/>
      <c r="IKW265" s="305"/>
      <c r="ILA265" s="305"/>
      <c r="ILE265" s="305"/>
      <c r="ILI265" s="305"/>
      <c r="ILM265" s="305"/>
      <c r="ILQ265" s="305"/>
      <c r="ILU265" s="305"/>
      <c r="ILY265" s="305"/>
      <c r="IMC265" s="305"/>
      <c r="IMG265" s="305"/>
      <c r="IMK265" s="305"/>
      <c r="IMO265" s="305"/>
      <c r="IMS265" s="305"/>
      <c r="IMW265" s="305"/>
      <c r="INA265" s="305"/>
      <c r="INE265" s="305"/>
      <c r="INI265" s="305"/>
      <c r="INM265" s="305"/>
      <c r="INQ265" s="305"/>
      <c r="INU265" s="305"/>
      <c r="INY265" s="305"/>
      <c r="IOC265" s="305"/>
      <c r="IOG265" s="305"/>
      <c r="IOK265" s="305"/>
      <c r="IOO265" s="305"/>
      <c r="IOS265" s="305"/>
      <c r="IOW265" s="305"/>
      <c r="IPA265" s="305"/>
      <c r="IPE265" s="305"/>
      <c r="IPI265" s="305"/>
      <c r="IPM265" s="305"/>
      <c r="IPQ265" s="305"/>
      <c r="IPU265" s="305"/>
      <c r="IPY265" s="305"/>
      <c r="IQC265" s="305"/>
      <c r="IQG265" s="305"/>
      <c r="IQK265" s="305"/>
      <c r="IQO265" s="305"/>
      <c r="IQS265" s="305"/>
      <c r="IQW265" s="305"/>
      <c r="IRA265" s="305"/>
      <c r="IRE265" s="305"/>
      <c r="IRI265" s="305"/>
      <c r="IRM265" s="305"/>
      <c r="IRQ265" s="305"/>
      <c r="IRU265" s="305"/>
      <c r="IRY265" s="305"/>
      <c r="ISC265" s="305"/>
      <c r="ISG265" s="305"/>
      <c r="ISK265" s="305"/>
      <c r="ISO265" s="305"/>
      <c r="ISS265" s="305"/>
      <c r="ISW265" s="305"/>
      <c r="ITA265" s="305"/>
      <c r="ITE265" s="305"/>
      <c r="ITI265" s="305"/>
      <c r="ITM265" s="305"/>
      <c r="ITQ265" s="305"/>
      <c r="ITU265" s="305"/>
      <c r="ITY265" s="305"/>
      <c r="IUC265" s="305"/>
      <c r="IUG265" s="305"/>
      <c r="IUK265" s="305"/>
      <c r="IUO265" s="305"/>
      <c r="IUS265" s="305"/>
      <c r="IUW265" s="305"/>
      <c r="IVA265" s="305"/>
      <c r="IVE265" s="305"/>
      <c r="IVI265" s="305"/>
      <c r="IVM265" s="305"/>
      <c r="IVQ265" s="305"/>
      <c r="IVU265" s="305"/>
      <c r="IVY265" s="305"/>
      <c r="IWC265" s="305"/>
      <c r="IWG265" s="305"/>
      <c r="IWK265" s="305"/>
      <c r="IWO265" s="305"/>
      <c r="IWS265" s="305"/>
      <c r="IWW265" s="305"/>
      <c r="IXA265" s="305"/>
      <c r="IXE265" s="305"/>
      <c r="IXI265" s="305"/>
      <c r="IXM265" s="305"/>
      <c r="IXQ265" s="305"/>
      <c r="IXU265" s="305"/>
      <c r="IXY265" s="305"/>
      <c r="IYC265" s="305"/>
      <c r="IYG265" s="305"/>
      <c r="IYK265" s="305"/>
      <c r="IYO265" s="305"/>
      <c r="IYS265" s="305"/>
      <c r="IYW265" s="305"/>
      <c r="IZA265" s="305"/>
      <c r="IZE265" s="305"/>
      <c r="IZI265" s="305"/>
      <c r="IZM265" s="305"/>
      <c r="IZQ265" s="305"/>
      <c r="IZU265" s="305"/>
      <c r="IZY265" s="305"/>
      <c r="JAC265" s="305"/>
      <c r="JAG265" s="305"/>
      <c r="JAK265" s="305"/>
      <c r="JAO265" s="305"/>
      <c r="JAS265" s="305"/>
      <c r="JAW265" s="305"/>
      <c r="JBA265" s="305"/>
      <c r="JBE265" s="305"/>
      <c r="JBI265" s="305"/>
      <c r="JBM265" s="305"/>
      <c r="JBQ265" s="305"/>
      <c r="JBU265" s="305"/>
      <c r="JBY265" s="305"/>
      <c r="JCC265" s="305"/>
      <c r="JCG265" s="305"/>
      <c r="JCK265" s="305"/>
      <c r="JCO265" s="305"/>
      <c r="JCS265" s="305"/>
      <c r="JCW265" s="305"/>
      <c r="JDA265" s="305"/>
      <c r="JDE265" s="305"/>
      <c r="JDI265" s="305"/>
      <c r="JDM265" s="305"/>
      <c r="JDQ265" s="305"/>
      <c r="JDU265" s="305"/>
      <c r="JDY265" s="305"/>
      <c r="JEC265" s="305"/>
      <c r="JEG265" s="305"/>
      <c r="JEK265" s="305"/>
      <c r="JEO265" s="305"/>
      <c r="JES265" s="305"/>
      <c r="JEW265" s="305"/>
      <c r="JFA265" s="305"/>
      <c r="JFE265" s="305"/>
      <c r="JFI265" s="305"/>
      <c r="JFM265" s="305"/>
      <c r="JFQ265" s="305"/>
      <c r="JFU265" s="305"/>
      <c r="JFY265" s="305"/>
      <c r="JGC265" s="305"/>
      <c r="JGG265" s="305"/>
      <c r="JGK265" s="305"/>
      <c r="JGO265" s="305"/>
      <c r="JGS265" s="305"/>
      <c r="JGW265" s="305"/>
      <c r="JHA265" s="305"/>
      <c r="JHE265" s="305"/>
      <c r="JHI265" s="305"/>
      <c r="JHM265" s="305"/>
      <c r="JHQ265" s="305"/>
      <c r="JHU265" s="305"/>
      <c r="JHY265" s="305"/>
      <c r="JIC265" s="305"/>
      <c r="JIG265" s="305"/>
      <c r="JIK265" s="305"/>
      <c r="JIO265" s="305"/>
      <c r="JIS265" s="305"/>
      <c r="JIW265" s="305"/>
      <c r="JJA265" s="305"/>
      <c r="JJE265" s="305"/>
      <c r="JJI265" s="305"/>
      <c r="JJM265" s="305"/>
      <c r="JJQ265" s="305"/>
      <c r="JJU265" s="305"/>
      <c r="JJY265" s="305"/>
      <c r="JKC265" s="305"/>
      <c r="JKG265" s="305"/>
      <c r="JKK265" s="305"/>
      <c r="JKO265" s="305"/>
      <c r="JKS265" s="305"/>
      <c r="JKW265" s="305"/>
      <c r="JLA265" s="305"/>
      <c r="JLE265" s="305"/>
      <c r="JLI265" s="305"/>
      <c r="JLM265" s="305"/>
      <c r="JLQ265" s="305"/>
      <c r="JLU265" s="305"/>
      <c r="JLY265" s="305"/>
      <c r="JMC265" s="305"/>
      <c r="JMG265" s="305"/>
      <c r="JMK265" s="305"/>
      <c r="JMO265" s="305"/>
      <c r="JMS265" s="305"/>
      <c r="JMW265" s="305"/>
      <c r="JNA265" s="305"/>
      <c r="JNE265" s="305"/>
      <c r="JNI265" s="305"/>
      <c r="JNM265" s="305"/>
      <c r="JNQ265" s="305"/>
      <c r="JNU265" s="305"/>
      <c r="JNY265" s="305"/>
      <c r="JOC265" s="305"/>
      <c r="JOG265" s="305"/>
      <c r="JOK265" s="305"/>
      <c r="JOO265" s="305"/>
      <c r="JOS265" s="305"/>
      <c r="JOW265" s="305"/>
      <c r="JPA265" s="305"/>
      <c r="JPE265" s="305"/>
      <c r="JPI265" s="305"/>
      <c r="JPM265" s="305"/>
      <c r="JPQ265" s="305"/>
      <c r="JPU265" s="305"/>
      <c r="JPY265" s="305"/>
      <c r="JQC265" s="305"/>
      <c r="JQG265" s="305"/>
      <c r="JQK265" s="305"/>
      <c r="JQO265" s="305"/>
      <c r="JQS265" s="305"/>
      <c r="JQW265" s="305"/>
      <c r="JRA265" s="305"/>
      <c r="JRE265" s="305"/>
      <c r="JRI265" s="305"/>
      <c r="JRM265" s="305"/>
      <c r="JRQ265" s="305"/>
      <c r="JRU265" s="305"/>
      <c r="JRY265" s="305"/>
      <c r="JSC265" s="305"/>
      <c r="JSG265" s="305"/>
      <c r="JSK265" s="305"/>
      <c r="JSO265" s="305"/>
      <c r="JSS265" s="305"/>
      <c r="JSW265" s="305"/>
      <c r="JTA265" s="305"/>
      <c r="JTE265" s="305"/>
      <c r="JTI265" s="305"/>
      <c r="JTM265" s="305"/>
      <c r="JTQ265" s="305"/>
      <c r="JTU265" s="305"/>
      <c r="JTY265" s="305"/>
      <c r="JUC265" s="305"/>
      <c r="JUG265" s="305"/>
      <c r="JUK265" s="305"/>
      <c r="JUO265" s="305"/>
      <c r="JUS265" s="305"/>
      <c r="JUW265" s="305"/>
      <c r="JVA265" s="305"/>
      <c r="JVE265" s="305"/>
      <c r="JVI265" s="305"/>
      <c r="JVM265" s="305"/>
      <c r="JVQ265" s="305"/>
      <c r="JVU265" s="305"/>
      <c r="JVY265" s="305"/>
      <c r="JWC265" s="305"/>
      <c r="JWG265" s="305"/>
      <c r="JWK265" s="305"/>
      <c r="JWO265" s="305"/>
      <c r="JWS265" s="305"/>
      <c r="JWW265" s="305"/>
      <c r="JXA265" s="305"/>
      <c r="JXE265" s="305"/>
      <c r="JXI265" s="305"/>
      <c r="JXM265" s="305"/>
      <c r="JXQ265" s="305"/>
      <c r="JXU265" s="305"/>
      <c r="JXY265" s="305"/>
      <c r="JYC265" s="305"/>
      <c r="JYG265" s="305"/>
      <c r="JYK265" s="305"/>
      <c r="JYO265" s="305"/>
      <c r="JYS265" s="305"/>
      <c r="JYW265" s="305"/>
      <c r="JZA265" s="305"/>
      <c r="JZE265" s="305"/>
      <c r="JZI265" s="305"/>
      <c r="JZM265" s="305"/>
      <c r="JZQ265" s="305"/>
      <c r="JZU265" s="305"/>
      <c r="JZY265" s="305"/>
      <c r="KAC265" s="305"/>
      <c r="KAG265" s="305"/>
      <c r="KAK265" s="305"/>
      <c r="KAO265" s="305"/>
      <c r="KAS265" s="305"/>
      <c r="KAW265" s="305"/>
      <c r="KBA265" s="305"/>
      <c r="KBE265" s="305"/>
      <c r="KBI265" s="305"/>
      <c r="KBM265" s="305"/>
      <c r="KBQ265" s="305"/>
      <c r="KBU265" s="305"/>
      <c r="KBY265" s="305"/>
      <c r="KCC265" s="305"/>
      <c r="KCG265" s="305"/>
      <c r="KCK265" s="305"/>
      <c r="KCO265" s="305"/>
      <c r="KCS265" s="305"/>
      <c r="KCW265" s="305"/>
      <c r="KDA265" s="305"/>
      <c r="KDE265" s="305"/>
      <c r="KDI265" s="305"/>
      <c r="KDM265" s="305"/>
      <c r="KDQ265" s="305"/>
      <c r="KDU265" s="305"/>
      <c r="KDY265" s="305"/>
      <c r="KEC265" s="305"/>
      <c r="KEG265" s="305"/>
      <c r="KEK265" s="305"/>
      <c r="KEO265" s="305"/>
      <c r="KES265" s="305"/>
      <c r="KEW265" s="305"/>
      <c r="KFA265" s="305"/>
      <c r="KFE265" s="305"/>
      <c r="KFI265" s="305"/>
      <c r="KFM265" s="305"/>
      <c r="KFQ265" s="305"/>
      <c r="KFU265" s="305"/>
      <c r="KFY265" s="305"/>
      <c r="KGC265" s="305"/>
      <c r="KGG265" s="305"/>
      <c r="KGK265" s="305"/>
      <c r="KGO265" s="305"/>
      <c r="KGS265" s="305"/>
      <c r="KGW265" s="305"/>
      <c r="KHA265" s="305"/>
      <c r="KHE265" s="305"/>
      <c r="KHI265" s="305"/>
      <c r="KHM265" s="305"/>
      <c r="KHQ265" s="305"/>
      <c r="KHU265" s="305"/>
      <c r="KHY265" s="305"/>
      <c r="KIC265" s="305"/>
      <c r="KIG265" s="305"/>
      <c r="KIK265" s="305"/>
      <c r="KIO265" s="305"/>
      <c r="KIS265" s="305"/>
      <c r="KIW265" s="305"/>
      <c r="KJA265" s="305"/>
      <c r="KJE265" s="305"/>
      <c r="KJI265" s="305"/>
      <c r="KJM265" s="305"/>
      <c r="KJQ265" s="305"/>
      <c r="KJU265" s="305"/>
      <c r="KJY265" s="305"/>
      <c r="KKC265" s="305"/>
      <c r="KKG265" s="305"/>
      <c r="KKK265" s="305"/>
      <c r="KKO265" s="305"/>
      <c r="KKS265" s="305"/>
      <c r="KKW265" s="305"/>
      <c r="KLA265" s="305"/>
      <c r="KLE265" s="305"/>
      <c r="KLI265" s="305"/>
      <c r="KLM265" s="305"/>
      <c r="KLQ265" s="305"/>
      <c r="KLU265" s="305"/>
      <c r="KLY265" s="305"/>
      <c r="KMC265" s="305"/>
      <c r="KMG265" s="305"/>
      <c r="KMK265" s="305"/>
      <c r="KMO265" s="305"/>
      <c r="KMS265" s="305"/>
      <c r="KMW265" s="305"/>
      <c r="KNA265" s="305"/>
      <c r="KNE265" s="305"/>
      <c r="KNI265" s="305"/>
      <c r="KNM265" s="305"/>
      <c r="KNQ265" s="305"/>
      <c r="KNU265" s="305"/>
      <c r="KNY265" s="305"/>
      <c r="KOC265" s="305"/>
      <c r="KOG265" s="305"/>
      <c r="KOK265" s="305"/>
      <c r="KOO265" s="305"/>
      <c r="KOS265" s="305"/>
      <c r="KOW265" s="305"/>
      <c r="KPA265" s="305"/>
      <c r="KPE265" s="305"/>
      <c r="KPI265" s="305"/>
      <c r="KPM265" s="305"/>
      <c r="KPQ265" s="305"/>
      <c r="KPU265" s="305"/>
      <c r="KPY265" s="305"/>
      <c r="KQC265" s="305"/>
      <c r="KQG265" s="305"/>
      <c r="KQK265" s="305"/>
      <c r="KQO265" s="305"/>
      <c r="KQS265" s="305"/>
      <c r="KQW265" s="305"/>
      <c r="KRA265" s="305"/>
      <c r="KRE265" s="305"/>
      <c r="KRI265" s="305"/>
      <c r="KRM265" s="305"/>
      <c r="KRQ265" s="305"/>
      <c r="KRU265" s="305"/>
      <c r="KRY265" s="305"/>
      <c r="KSC265" s="305"/>
      <c r="KSG265" s="305"/>
      <c r="KSK265" s="305"/>
      <c r="KSO265" s="305"/>
      <c r="KSS265" s="305"/>
      <c r="KSW265" s="305"/>
      <c r="KTA265" s="305"/>
      <c r="KTE265" s="305"/>
      <c r="KTI265" s="305"/>
      <c r="KTM265" s="305"/>
      <c r="KTQ265" s="305"/>
      <c r="KTU265" s="305"/>
      <c r="KTY265" s="305"/>
      <c r="KUC265" s="305"/>
      <c r="KUG265" s="305"/>
      <c r="KUK265" s="305"/>
      <c r="KUO265" s="305"/>
      <c r="KUS265" s="305"/>
      <c r="KUW265" s="305"/>
      <c r="KVA265" s="305"/>
      <c r="KVE265" s="305"/>
      <c r="KVI265" s="305"/>
      <c r="KVM265" s="305"/>
      <c r="KVQ265" s="305"/>
      <c r="KVU265" s="305"/>
      <c r="KVY265" s="305"/>
      <c r="KWC265" s="305"/>
      <c r="KWG265" s="305"/>
      <c r="KWK265" s="305"/>
      <c r="KWO265" s="305"/>
      <c r="KWS265" s="305"/>
      <c r="KWW265" s="305"/>
      <c r="KXA265" s="305"/>
      <c r="KXE265" s="305"/>
      <c r="KXI265" s="305"/>
      <c r="KXM265" s="305"/>
      <c r="KXQ265" s="305"/>
      <c r="KXU265" s="305"/>
      <c r="KXY265" s="305"/>
      <c r="KYC265" s="305"/>
      <c r="KYG265" s="305"/>
      <c r="KYK265" s="305"/>
      <c r="KYO265" s="305"/>
      <c r="KYS265" s="305"/>
      <c r="KYW265" s="305"/>
      <c r="KZA265" s="305"/>
      <c r="KZE265" s="305"/>
      <c r="KZI265" s="305"/>
      <c r="KZM265" s="305"/>
      <c r="KZQ265" s="305"/>
      <c r="KZU265" s="305"/>
      <c r="KZY265" s="305"/>
      <c r="LAC265" s="305"/>
      <c r="LAG265" s="305"/>
      <c r="LAK265" s="305"/>
      <c r="LAO265" s="305"/>
      <c r="LAS265" s="305"/>
      <c r="LAW265" s="305"/>
      <c r="LBA265" s="305"/>
      <c r="LBE265" s="305"/>
      <c r="LBI265" s="305"/>
      <c r="LBM265" s="305"/>
      <c r="LBQ265" s="305"/>
      <c r="LBU265" s="305"/>
      <c r="LBY265" s="305"/>
      <c r="LCC265" s="305"/>
      <c r="LCG265" s="305"/>
      <c r="LCK265" s="305"/>
      <c r="LCO265" s="305"/>
      <c r="LCS265" s="305"/>
      <c r="LCW265" s="305"/>
      <c r="LDA265" s="305"/>
      <c r="LDE265" s="305"/>
      <c r="LDI265" s="305"/>
      <c r="LDM265" s="305"/>
      <c r="LDQ265" s="305"/>
      <c r="LDU265" s="305"/>
      <c r="LDY265" s="305"/>
      <c r="LEC265" s="305"/>
      <c r="LEG265" s="305"/>
      <c r="LEK265" s="305"/>
      <c r="LEO265" s="305"/>
      <c r="LES265" s="305"/>
      <c r="LEW265" s="305"/>
      <c r="LFA265" s="305"/>
      <c r="LFE265" s="305"/>
      <c r="LFI265" s="305"/>
      <c r="LFM265" s="305"/>
      <c r="LFQ265" s="305"/>
      <c r="LFU265" s="305"/>
      <c r="LFY265" s="305"/>
      <c r="LGC265" s="305"/>
      <c r="LGG265" s="305"/>
      <c r="LGK265" s="305"/>
      <c r="LGO265" s="305"/>
      <c r="LGS265" s="305"/>
      <c r="LGW265" s="305"/>
      <c r="LHA265" s="305"/>
      <c r="LHE265" s="305"/>
      <c r="LHI265" s="305"/>
      <c r="LHM265" s="305"/>
      <c r="LHQ265" s="305"/>
      <c r="LHU265" s="305"/>
      <c r="LHY265" s="305"/>
      <c r="LIC265" s="305"/>
      <c r="LIG265" s="305"/>
      <c r="LIK265" s="305"/>
      <c r="LIO265" s="305"/>
      <c r="LIS265" s="305"/>
      <c r="LIW265" s="305"/>
      <c r="LJA265" s="305"/>
      <c r="LJE265" s="305"/>
      <c r="LJI265" s="305"/>
      <c r="LJM265" s="305"/>
      <c r="LJQ265" s="305"/>
      <c r="LJU265" s="305"/>
      <c r="LJY265" s="305"/>
      <c r="LKC265" s="305"/>
      <c r="LKG265" s="305"/>
      <c r="LKK265" s="305"/>
      <c r="LKO265" s="305"/>
      <c r="LKS265" s="305"/>
      <c r="LKW265" s="305"/>
      <c r="LLA265" s="305"/>
      <c r="LLE265" s="305"/>
      <c r="LLI265" s="305"/>
      <c r="LLM265" s="305"/>
      <c r="LLQ265" s="305"/>
      <c r="LLU265" s="305"/>
      <c r="LLY265" s="305"/>
      <c r="LMC265" s="305"/>
      <c r="LMG265" s="305"/>
      <c r="LMK265" s="305"/>
      <c r="LMO265" s="305"/>
      <c r="LMS265" s="305"/>
      <c r="LMW265" s="305"/>
      <c r="LNA265" s="305"/>
      <c r="LNE265" s="305"/>
      <c r="LNI265" s="305"/>
      <c r="LNM265" s="305"/>
      <c r="LNQ265" s="305"/>
      <c r="LNU265" s="305"/>
      <c r="LNY265" s="305"/>
      <c r="LOC265" s="305"/>
      <c r="LOG265" s="305"/>
      <c r="LOK265" s="305"/>
      <c r="LOO265" s="305"/>
      <c r="LOS265" s="305"/>
      <c r="LOW265" s="305"/>
      <c r="LPA265" s="305"/>
      <c r="LPE265" s="305"/>
      <c r="LPI265" s="305"/>
      <c r="LPM265" s="305"/>
      <c r="LPQ265" s="305"/>
      <c r="LPU265" s="305"/>
      <c r="LPY265" s="305"/>
      <c r="LQC265" s="305"/>
      <c r="LQG265" s="305"/>
      <c r="LQK265" s="305"/>
      <c r="LQO265" s="305"/>
      <c r="LQS265" s="305"/>
      <c r="LQW265" s="305"/>
      <c r="LRA265" s="305"/>
      <c r="LRE265" s="305"/>
      <c r="LRI265" s="305"/>
      <c r="LRM265" s="305"/>
      <c r="LRQ265" s="305"/>
      <c r="LRU265" s="305"/>
      <c r="LRY265" s="305"/>
      <c r="LSC265" s="305"/>
      <c r="LSG265" s="305"/>
      <c r="LSK265" s="305"/>
      <c r="LSO265" s="305"/>
      <c r="LSS265" s="305"/>
      <c r="LSW265" s="305"/>
      <c r="LTA265" s="305"/>
      <c r="LTE265" s="305"/>
      <c r="LTI265" s="305"/>
      <c r="LTM265" s="305"/>
      <c r="LTQ265" s="305"/>
      <c r="LTU265" s="305"/>
      <c r="LTY265" s="305"/>
      <c r="LUC265" s="305"/>
      <c r="LUG265" s="305"/>
      <c r="LUK265" s="305"/>
      <c r="LUO265" s="305"/>
      <c r="LUS265" s="305"/>
      <c r="LUW265" s="305"/>
      <c r="LVA265" s="305"/>
      <c r="LVE265" s="305"/>
      <c r="LVI265" s="305"/>
      <c r="LVM265" s="305"/>
      <c r="LVQ265" s="305"/>
      <c r="LVU265" s="305"/>
      <c r="LVY265" s="305"/>
      <c r="LWC265" s="305"/>
      <c r="LWG265" s="305"/>
      <c r="LWK265" s="305"/>
      <c r="LWO265" s="305"/>
      <c r="LWS265" s="305"/>
      <c r="LWW265" s="305"/>
      <c r="LXA265" s="305"/>
      <c r="LXE265" s="305"/>
      <c r="LXI265" s="305"/>
      <c r="LXM265" s="305"/>
      <c r="LXQ265" s="305"/>
      <c r="LXU265" s="305"/>
      <c r="LXY265" s="305"/>
      <c r="LYC265" s="305"/>
      <c r="LYG265" s="305"/>
      <c r="LYK265" s="305"/>
      <c r="LYO265" s="305"/>
      <c r="LYS265" s="305"/>
      <c r="LYW265" s="305"/>
      <c r="LZA265" s="305"/>
      <c r="LZE265" s="305"/>
      <c r="LZI265" s="305"/>
      <c r="LZM265" s="305"/>
      <c r="LZQ265" s="305"/>
      <c r="LZU265" s="305"/>
      <c r="LZY265" s="305"/>
      <c r="MAC265" s="305"/>
      <c r="MAG265" s="305"/>
      <c r="MAK265" s="305"/>
      <c r="MAO265" s="305"/>
      <c r="MAS265" s="305"/>
      <c r="MAW265" s="305"/>
      <c r="MBA265" s="305"/>
      <c r="MBE265" s="305"/>
      <c r="MBI265" s="305"/>
      <c r="MBM265" s="305"/>
      <c r="MBQ265" s="305"/>
      <c r="MBU265" s="305"/>
      <c r="MBY265" s="305"/>
      <c r="MCC265" s="305"/>
      <c r="MCG265" s="305"/>
      <c r="MCK265" s="305"/>
      <c r="MCO265" s="305"/>
      <c r="MCS265" s="305"/>
      <c r="MCW265" s="305"/>
      <c r="MDA265" s="305"/>
      <c r="MDE265" s="305"/>
      <c r="MDI265" s="305"/>
      <c r="MDM265" s="305"/>
      <c r="MDQ265" s="305"/>
      <c r="MDU265" s="305"/>
      <c r="MDY265" s="305"/>
      <c r="MEC265" s="305"/>
      <c r="MEG265" s="305"/>
      <c r="MEK265" s="305"/>
      <c r="MEO265" s="305"/>
      <c r="MES265" s="305"/>
      <c r="MEW265" s="305"/>
      <c r="MFA265" s="305"/>
      <c r="MFE265" s="305"/>
      <c r="MFI265" s="305"/>
      <c r="MFM265" s="305"/>
      <c r="MFQ265" s="305"/>
      <c r="MFU265" s="305"/>
      <c r="MFY265" s="305"/>
      <c r="MGC265" s="305"/>
      <c r="MGG265" s="305"/>
      <c r="MGK265" s="305"/>
      <c r="MGO265" s="305"/>
      <c r="MGS265" s="305"/>
      <c r="MGW265" s="305"/>
      <c r="MHA265" s="305"/>
      <c r="MHE265" s="305"/>
      <c r="MHI265" s="305"/>
      <c r="MHM265" s="305"/>
      <c r="MHQ265" s="305"/>
      <c r="MHU265" s="305"/>
      <c r="MHY265" s="305"/>
      <c r="MIC265" s="305"/>
      <c r="MIG265" s="305"/>
      <c r="MIK265" s="305"/>
      <c r="MIO265" s="305"/>
      <c r="MIS265" s="305"/>
      <c r="MIW265" s="305"/>
      <c r="MJA265" s="305"/>
      <c r="MJE265" s="305"/>
      <c r="MJI265" s="305"/>
      <c r="MJM265" s="305"/>
      <c r="MJQ265" s="305"/>
      <c r="MJU265" s="305"/>
      <c r="MJY265" s="305"/>
      <c r="MKC265" s="305"/>
      <c r="MKG265" s="305"/>
      <c r="MKK265" s="305"/>
      <c r="MKO265" s="305"/>
      <c r="MKS265" s="305"/>
      <c r="MKW265" s="305"/>
      <c r="MLA265" s="305"/>
      <c r="MLE265" s="305"/>
      <c r="MLI265" s="305"/>
      <c r="MLM265" s="305"/>
      <c r="MLQ265" s="305"/>
      <c r="MLU265" s="305"/>
      <c r="MLY265" s="305"/>
      <c r="MMC265" s="305"/>
      <c r="MMG265" s="305"/>
      <c r="MMK265" s="305"/>
      <c r="MMO265" s="305"/>
      <c r="MMS265" s="305"/>
      <c r="MMW265" s="305"/>
      <c r="MNA265" s="305"/>
      <c r="MNE265" s="305"/>
      <c r="MNI265" s="305"/>
      <c r="MNM265" s="305"/>
      <c r="MNQ265" s="305"/>
      <c r="MNU265" s="305"/>
      <c r="MNY265" s="305"/>
      <c r="MOC265" s="305"/>
      <c r="MOG265" s="305"/>
      <c r="MOK265" s="305"/>
      <c r="MOO265" s="305"/>
      <c r="MOS265" s="305"/>
      <c r="MOW265" s="305"/>
      <c r="MPA265" s="305"/>
      <c r="MPE265" s="305"/>
      <c r="MPI265" s="305"/>
      <c r="MPM265" s="305"/>
      <c r="MPQ265" s="305"/>
      <c r="MPU265" s="305"/>
      <c r="MPY265" s="305"/>
      <c r="MQC265" s="305"/>
      <c r="MQG265" s="305"/>
      <c r="MQK265" s="305"/>
      <c r="MQO265" s="305"/>
      <c r="MQS265" s="305"/>
      <c r="MQW265" s="305"/>
      <c r="MRA265" s="305"/>
      <c r="MRE265" s="305"/>
      <c r="MRI265" s="305"/>
      <c r="MRM265" s="305"/>
      <c r="MRQ265" s="305"/>
      <c r="MRU265" s="305"/>
      <c r="MRY265" s="305"/>
      <c r="MSC265" s="305"/>
      <c r="MSG265" s="305"/>
      <c r="MSK265" s="305"/>
      <c r="MSO265" s="305"/>
      <c r="MSS265" s="305"/>
      <c r="MSW265" s="305"/>
      <c r="MTA265" s="305"/>
      <c r="MTE265" s="305"/>
      <c r="MTI265" s="305"/>
      <c r="MTM265" s="305"/>
      <c r="MTQ265" s="305"/>
      <c r="MTU265" s="305"/>
      <c r="MTY265" s="305"/>
      <c r="MUC265" s="305"/>
      <c r="MUG265" s="305"/>
      <c r="MUK265" s="305"/>
      <c r="MUO265" s="305"/>
      <c r="MUS265" s="305"/>
      <c r="MUW265" s="305"/>
      <c r="MVA265" s="305"/>
      <c r="MVE265" s="305"/>
      <c r="MVI265" s="305"/>
      <c r="MVM265" s="305"/>
      <c r="MVQ265" s="305"/>
      <c r="MVU265" s="305"/>
      <c r="MVY265" s="305"/>
      <c r="MWC265" s="305"/>
      <c r="MWG265" s="305"/>
      <c r="MWK265" s="305"/>
      <c r="MWO265" s="305"/>
      <c r="MWS265" s="305"/>
      <c r="MWW265" s="305"/>
      <c r="MXA265" s="305"/>
      <c r="MXE265" s="305"/>
      <c r="MXI265" s="305"/>
      <c r="MXM265" s="305"/>
      <c r="MXQ265" s="305"/>
      <c r="MXU265" s="305"/>
      <c r="MXY265" s="305"/>
      <c r="MYC265" s="305"/>
      <c r="MYG265" s="305"/>
      <c r="MYK265" s="305"/>
      <c r="MYO265" s="305"/>
      <c r="MYS265" s="305"/>
      <c r="MYW265" s="305"/>
      <c r="MZA265" s="305"/>
      <c r="MZE265" s="305"/>
      <c r="MZI265" s="305"/>
      <c r="MZM265" s="305"/>
      <c r="MZQ265" s="305"/>
      <c r="MZU265" s="305"/>
      <c r="MZY265" s="305"/>
      <c r="NAC265" s="305"/>
      <c r="NAG265" s="305"/>
      <c r="NAK265" s="305"/>
      <c r="NAO265" s="305"/>
      <c r="NAS265" s="305"/>
      <c r="NAW265" s="305"/>
      <c r="NBA265" s="305"/>
      <c r="NBE265" s="305"/>
      <c r="NBI265" s="305"/>
      <c r="NBM265" s="305"/>
      <c r="NBQ265" s="305"/>
      <c r="NBU265" s="305"/>
      <c r="NBY265" s="305"/>
      <c r="NCC265" s="305"/>
      <c r="NCG265" s="305"/>
      <c r="NCK265" s="305"/>
      <c r="NCO265" s="305"/>
      <c r="NCS265" s="305"/>
      <c r="NCW265" s="305"/>
      <c r="NDA265" s="305"/>
      <c r="NDE265" s="305"/>
      <c r="NDI265" s="305"/>
      <c r="NDM265" s="305"/>
      <c r="NDQ265" s="305"/>
      <c r="NDU265" s="305"/>
      <c r="NDY265" s="305"/>
      <c r="NEC265" s="305"/>
      <c r="NEG265" s="305"/>
      <c r="NEK265" s="305"/>
      <c r="NEO265" s="305"/>
      <c r="NES265" s="305"/>
      <c r="NEW265" s="305"/>
      <c r="NFA265" s="305"/>
      <c r="NFE265" s="305"/>
      <c r="NFI265" s="305"/>
      <c r="NFM265" s="305"/>
      <c r="NFQ265" s="305"/>
      <c r="NFU265" s="305"/>
      <c r="NFY265" s="305"/>
      <c r="NGC265" s="305"/>
      <c r="NGG265" s="305"/>
      <c r="NGK265" s="305"/>
      <c r="NGO265" s="305"/>
      <c r="NGS265" s="305"/>
      <c r="NGW265" s="305"/>
      <c r="NHA265" s="305"/>
      <c r="NHE265" s="305"/>
      <c r="NHI265" s="305"/>
      <c r="NHM265" s="305"/>
      <c r="NHQ265" s="305"/>
      <c r="NHU265" s="305"/>
      <c r="NHY265" s="305"/>
      <c r="NIC265" s="305"/>
      <c r="NIG265" s="305"/>
      <c r="NIK265" s="305"/>
      <c r="NIO265" s="305"/>
      <c r="NIS265" s="305"/>
      <c r="NIW265" s="305"/>
      <c r="NJA265" s="305"/>
      <c r="NJE265" s="305"/>
      <c r="NJI265" s="305"/>
      <c r="NJM265" s="305"/>
      <c r="NJQ265" s="305"/>
      <c r="NJU265" s="305"/>
      <c r="NJY265" s="305"/>
      <c r="NKC265" s="305"/>
      <c r="NKG265" s="305"/>
      <c r="NKK265" s="305"/>
      <c r="NKO265" s="305"/>
      <c r="NKS265" s="305"/>
      <c r="NKW265" s="305"/>
      <c r="NLA265" s="305"/>
      <c r="NLE265" s="305"/>
      <c r="NLI265" s="305"/>
      <c r="NLM265" s="305"/>
      <c r="NLQ265" s="305"/>
      <c r="NLU265" s="305"/>
      <c r="NLY265" s="305"/>
      <c r="NMC265" s="305"/>
      <c r="NMG265" s="305"/>
      <c r="NMK265" s="305"/>
      <c r="NMO265" s="305"/>
      <c r="NMS265" s="305"/>
      <c r="NMW265" s="305"/>
      <c r="NNA265" s="305"/>
      <c r="NNE265" s="305"/>
      <c r="NNI265" s="305"/>
      <c r="NNM265" s="305"/>
      <c r="NNQ265" s="305"/>
      <c r="NNU265" s="305"/>
      <c r="NNY265" s="305"/>
      <c r="NOC265" s="305"/>
      <c r="NOG265" s="305"/>
      <c r="NOK265" s="305"/>
      <c r="NOO265" s="305"/>
      <c r="NOS265" s="305"/>
      <c r="NOW265" s="305"/>
      <c r="NPA265" s="305"/>
      <c r="NPE265" s="305"/>
      <c r="NPI265" s="305"/>
      <c r="NPM265" s="305"/>
      <c r="NPQ265" s="305"/>
      <c r="NPU265" s="305"/>
      <c r="NPY265" s="305"/>
      <c r="NQC265" s="305"/>
      <c r="NQG265" s="305"/>
      <c r="NQK265" s="305"/>
      <c r="NQO265" s="305"/>
      <c r="NQS265" s="305"/>
      <c r="NQW265" s="305"/>
      <c r="NRA265" s="305"/>
      <c r="NRE265" s="305"/>
      <c r="NRI265" s="305"/>
      <c r="NRM265" s="305"/>
      <c r="NRQ265" s="305"/>
      <c r="NRU265" s="305"/>
      <c r="NRY265" s="305"/>
      <c r="NSC265" s="305"/>
      <c r="NSG265" s="305"/>
      <c r="NSK265" s="305"/>
      <c r="NSO265" s="305"/>
      <c r="NSS265" s="305"/>
      <c r="NSW265" s="305"/>
      <c r="NTA265" s="305"/>
      <c r="NTE265" s="305"/>
      <c r="NTI265" s="305"/>
      <c r="NTM265" s="305"/>
      <c r="NTQ265" s="305"/>
      <c r="NTU265" s="305"/>
      <c r="NTY265" s="305"/>
      <c r="NUC265" s="305"/>
      <c r="NUG265" s="305"/>
      <c r="NUK265" s="305"/>
      <c r="NUO265" s="305"/>
      <c r="NUS265" s="305"/>
      <c r="NUW265" s="305"/>
      <c r="NVA265" s="305"/>
      <c r="NVE265" s="305"/>
      <c r="NVI265" s="305"/>
      <c r="NVM265" s="305"/>
      <c r="NVQ265" s="305"/>
      <c r="NVU265" s="305"/>
      <c r="NVY265" s="305"/>
      <c r="NWC265" s="305"/>
      <c r="NWG265" s="305"/>
      <c r="NWK265" s="305"/>
      <c r="NWO265" s="305"/>
      <c r="NWS265" s="305"/>
      <c r="NWW265" s="305"/>
      <c r="NXA265" s="305"/>
      <c r="NXE265" s="305"/>
      <c r="NXI265" s="305"/>
      <c r="NXM265" s="305"/>
      <c r="NXQ265" s="305"/>
      <c r="NXU265" s="305"/>
      <c r="NXY265" s="305"/>
      <c r="NYC265" s="305"/>
      <c r="NYG265" s="305"/>
      <c r="NYK265" s="305"/>
      <c r="NYO265" s="305"/>
      <c r="NYS265" s="305"/>
      <c r="NYW265" s="305"/>
      <c r="NZA265" s="305"/>
      <c r="NZE265" s="305"/>
      <c r="NZI265" s="305"/>
      <c r="NZM265" s="305"/>
      <c r="NZQ265" s="305"/>
      <c r="NZU265" s="305"/>
      <c r="NZY265" s="305"/>
      <c r="OAC265" s="305"/>
      <c r="OAG265" s="305"/>
      <c r="OAK265" s="305"/>
      <c r="OAO265" s="305"/>
      <c r="OAS265" s="305"/>
      <c r="OAW265" s="305"/>
      <c r="OBA265" s="305"/>
      <c r="OBE265" s="305"/>
      <c r="OBI265" s="305"/>
      <c r="OBM265" s="305"/>
      <c r="OBQ265" s="305"/>
      <c r="OBU265" s="305"/>
      <c r="OBY265" s="305"/>
      <c r="OCC265" s="305"/>
      <c r="OCG265" s="305"/>
      <c r="OCK265" s="305"/>
      <c r="OCO265" s="305"/>
      <c r="OCS265" s="305"/>
      <c r="OCW265" s="305"/>
      <c r="ODA265" s="305"/>
      <c r="ODE265" s="305"/>
      <c r="ODI265" s="305"/>
      <c r="ODM265" s="305"/>
      <c r="ODQ265" s="305"/>
      <c r="ODU265" s="305"/>
      <c r="ODY265" s="305"/>
      <c r="OEC265" s="305"/>
      <c r="OEG265" s="305"/>
      <c r="OEK265" s="305"/>
      <c r="OEO265" s="305"/>
      <c r="OES265" s="305"/>
      <c r="OEW265" s="305"/>
      <c r="OFA265" s="305"/>
      <c r="OFE265" s="305"/>
      <c r="OFI265" s="305"/>
      <c r="OFM265" s="305"/>
      <c r="OFQ265" s="305"/>
      <c r="OFU265" s="305"/>
      <c r="OFY265" s="305"/>
      <c r="OGC265" s="305"/>
      <c r="OGG265" s="305"/>
      <c r="OGK265" s="305"/>
      <c r="OGO265" s="305"/>
      <c r="OGS265" s="305"/>
      <c r="OGW265" s="305"/>
      <c r="OHA265" s="305"/>
      <c r="OHE265" s="305"/>
      <c r="OHI265" s="305"/>
      <c r="OHM265" s="305"/>
      <c r="OHQ265" s="305"/>
      <c r="OHU265" s="305"/>
      <c r="OHY265" s="305"/>
      <c r="OIC265" s="305"/>
      <c r="OIG265" s="305"/>
      <c r="OIK265" s="305"/>
      <c r="OIO265" s="305"/>
      <c r="OIS265" s="305"/>
      <c r="OIW265" s="305"/>
      <c r="OJA265" s="305"/>
      <c r="OJE265" s="305"/>
      <c r="OJI265" s="305"/>
      <c r="OJM265" s="305"/>
      <c r="OJQ265" s="305"/>
      <c r="OJU265" s="305"/>
      <c r="OJY265" s="305"/>
      <c r="OKC265" s="305"/>
      <c r="OKG265" s="305"/>
      <c r="OKK265" s="305"/>
      <c r="OKO265" s="305"/>
      <c r="OKS265" s="305"/>
      <c r="OKW265" s="305"/>
      <c r="OLA265" s="305"/>
      <c r="OLE265" s="305"/>
      <c r="OLI265" s="305"/>
      <c r="OLM265" s="305"/>
      <c r="OLQ265" s="305"/>
      <c r="OLU265" s="305"/>
      <c r="OLY265" s="305"/>
      <c r="OMC265" s="305"/>
      <c r="OMG265" s="305"/>
      <c r="OMK265" s="305"/>
      <c r="OMO265" s="305"/>
      <c r="OMS265" s="305"/>
      <c r="OMW265" s="305"/>
      <c r="ONA265" s="305"/>
      <c r="ONE265" s="305"/>
      <c r="ONI265" s="305"/>
      <c r="ONM265" s="305"/>
      <c r="ONQ265" s="305"/>
      <c r="ONU265" s="305"/>
      <c r="ONY265" s="305"/>
      <c r="OOC265" s="305"/>
      <c r="OOG265" s="305"/>
      <c r="OOK265" s="305"/>
      <c r="OOO265" s="305"/>
      <c r="OOS265" s="305"/>
      <c r="OOW265" s="305"/>
      <c r="OPA265" s="305"/>
      <c r="OPE265" s="305"/>
      <c r="OPI265" s="305"/>
      <c r="OPM265" s="305"/>
      <c r="OPQ265" s="305"/>
      <c r="OPU265" s="305"/>
      <c r="OPY265" s="305"/>
      <c r="OQC265" s="305"/>
      <c r="OQG265" s="305"/>
      <c r="OQK265" s="305"/>
      <c r="OQO265" s="305"/>
      <c r="OQS265" s="305"/>
      <c r="OQW265" s="305"/>
      <c r="ORA265" s="305"/>
      <c r="ORE265" s="305"/>
      <c r="ORI265" s="305"/>
      <c r="ORM265" s="305"/>
      <c r="ORQ265" s="305"/>
      <c r="ORU265" s="305"/>
      <c r="ORY265" s="305"/>
      <c r="OSC265" s="305"/>
      <c r="OSG265" s="305"/>
      <c r="OSK265" s="305"/>
      <c r="OSO265" s="305"/>
      <c r="OSS265" s="305"/>
      <c r="OSW265" s="305"/>
      <c r="OTA265" s="305"/>
      <c r="OTE265" s="305"/>
      <c r="OTI265" s="305"/>
      <c r="OTM265" s="305"/>
      <c r="OTQ265" s="305"/>
      <c r="OTU265" s="305"/>
      <c r="OTY265" s="305"/>
      <c r="OUC265" s="305"/>
      <c r="OUG265" s="305"/>
      <c r="OUK265" s="305"/>
      <c r="OUO265" s="305"/>
      <c r="OUS265" s="305"/>
      <c r="OUW265" s="305"/>
      <c r="OVA265" s="305"/>
      <c r="OVE265" s="305"/>
      <c r="OVI265" s="305"/>
      <c r="OVM265" s="305"/>
      <c r="OVQ265" s="305"/>
      <c r="OVU265" s="305"/>
      <c r="OVY265" s="305"/>
      <c r="OWC265" s="305"/>
      <c r="OWG265" s="305"/>
      <c r="OWK265" s="305"/>
      <c r="OWO265" s="305"/>
      <c r="OWS265" s="305"/>
      <c r="OWW265" s="305"/>
      <c r="OXA265" s="305"/>
      <c r="OXE265" s="305"/>
      <c r="OXI265" s="305"/>
      <c r="OXM265" s="305"/>
      <c r="OXQ265" s="305"/>
      <c r="OXU265" s="305"/>
      <c r="OXY265" s="305"/>
      <c r="OYC265" s="305"/>
      <c r="OYG265" s="305"/>
      <c r="OYK265" s="305"/>
      <c r="OYO265" s="305"/>
      <c r="OYS265" s="305"/>
      <c r="OYW265" s="305"/>
      <c r="OZA265" s="305"/>
      <c r="OZE265" s="305"/>
      <c r="OZI265" s="305"/>
      <c r="OZM265" s="305"/>
      <c r="OZQ265" s="305"/>
      <c r="OZU265" s="305"/>
      <c r="OZY265" s="305"/>
      <c r="PAC265" s="305"/>
      <c r="PAG265" s="305"/>
      <c r="PAK265" s="305"/>
      <c r="PAO265" s="305"/>
      <c r="PAS265" s="305"/>
      <c r="PAW265" s="305"/>
      <c r="PBA265" s="305"/>
      <c r="PBE265" s="305"/>
      <c r="PBI265" s="305"/>
      <c r="PBM265" s="305"/>
      <c r="PBQ265" s="305"/>
      <c r="PBU265" s="305"/>
      <c r="PBY265" s="305"/>
      <c r="PCC265" s="305"/>
      <c r="PCG265" s="305"/>
      <c r="PCK265" s="305"/>
      <c r="PCO265" s="305"/>
      <c r="PCS265" s="305"/>
      <c r="PCW265" s="305"/>
      <c r="PDA265" s="305"/>
      <c r="PDE265" s="305"/>
      <c r="PDI265" s="305"/>
      <c r="PDM265" s="305"/>
      <c r="PDQ265" s="305"/>
      <c r="PDU265" s="305"/>
      <c r="PDY265" s="305"/>
      <c r="PEC265" s="305"/>
      <c r="PEG265" s="305"/>
      <c r="PEK265" s="305"/>
      <c r="PEO265" s="305"/>
      <c r="PES265" s="305"/>
      <c r="PEW265" s="305"/>
      <c r="PFA265" s="305"/>
      <c r="PFE265" s="305"/>
      <c r="PFI265" s="305"/>
      <c r="PFM265" s="305"/>
      <c r="PFQ265" s="305"/>
      <c r="PFU265" s="305"/>
      <c r="PFY265" s="305"/>
      <c r="PGC265" s="305"/>
      <c r="PGG265" s="305"/>
      <c r="PGK265" s="305"/>
      <c r="PGO265" s="305"/>
      <c r="PGS265" s="305"/>
      <c r="PGW265" s="305"/>
      <c r="PHA265" s="305"/>
      <c r="PHE265" s="305"/>
      <c r="PHI265" s="305"/>
      <c r="PHM265" s="305"/>
      <c r="PHQ265" s="305"/>
      <c r="PHU265" s="305"/>
      <c r="PHY265" s="305"/>
      <c r="PIC265" s="305"/>
      <c r="PIG265" s="305"/>
      <c r="PIK265" s="305"/>
      <c r="PIO265" s="305"/>
      <c r="PIS265" s="305"/>
      <c r="PIW265" s="305"/>
      <c r="PJA265" s="305"/>
      <c r="PJE265" s="305"/>
      <c r="PJI265" s="305"/>
      <c r="PJM265" s="305"/>
      <c r="PJQ265" s="305"/>
      <c r="PJU265" s="305"/>
      <c r="PJY265" s="305"/>
      <c r="PKC265" s="305"/>
      <c r="PKG265" s="305"/>
      <c r="PKK265" s="305"/>
      <c r="PKO265" s="305"/>
      <c r="PKS265" s="305"/>
      <c r="PKW265" s="305"/>
      <c r="PLA265" s="305"/>
      <c r="PLE265" s="305"/>
      <c r="PLI265" s="305"/>
      <c r="PLM265" s="305"/>
      <c r="PLQ265" s="305"/>
      <c r="PLU265" s="305"/>
      <c r="PLY265" s="305"/>
      <c r="PMC265" s="305"/>
      <c r="PMG265" s="305"/>
      <c r="PMK265" s="305"/>
      <c r="PMO265" s="305"/>
      <c r="PMS265" s="305"/>
      <c r="PMW265" s="305"/>
      <c r="PNA265" s="305"/>
      <c r="PNE265" s="305"/>
      <c r="PNI265" s="305"/>
      <c r="PNM265" s="305"/>
      <c r="PNQ265" s="305"/>
      <c r="PNU265" s="305"/>
      <c r="PNY265" s="305"/>
      <c r="POC265" s="305"/>
      <c r="POG265" s="305"/>
      <c r="POK265" s="305"/>
      <c r="POO265" s="305"/>
      <c r="POS265" s="305"/>
      <c r="POW265" s="305"/>
      <c r="PPA265" s="305"/>
      <c r="PPE265" s="305"/>
      <c r="PPI265" s="305"/>
      <c r="PPM265" s="305"/>
      <c r="PPQ265" s="305"/>
      <c r="PPU265" s="305"/>
      <c r="PPY265" s="305"/>
      <c r="PQC265" s="305"/>
      <c r="PQG265" s="305"/>
      <c r="PQK265" s="305"/>
      <c r="PQO265" s="305"/>
      <c r="PQS265" s="305"/>
      <c r="PQW265" s="305"/>
      <c r="PRA265" s="305"/>
      <c r="PRE265" s="305"/>
      <c r="PRI265" s="305"/>
      <c r="PRM265" s="305"/>
      <c r="PRQ265" s="305"/>
      <c r="PRU265" s="305"/>
      <c r="PRY265" s="305"/>
      <c r="PSC265" s="305"/>
      <c r="PSG265" s="305"/>
      <c r="PSK265" s="305"/>
      <c r="PSO265" s="305"/>
      <c r="PSS265" s="305"/>
      <c r="PSW265" s="305"/>
      <c r="PTA265" s="305"/>
      <c r="PTE265" s="305"/>
      <c r="PTI265" s="305"/>
      <c r="PTM265" s="305"/>
      <c r="PTQ265" s="305"/>
      <c r="PTU265" s="305"/>
      <c r="PTY265" s="305"/>
      <c r="PUC265" s="305"/>
      <c r="PUG265" s="305"/>
      <c r="PUK265" s="305"/>
      <c r="PUO265" s="305"/>
      <c r="PUS265" s="305"/>
      <c r="PUW265" s="305"/>
      <c r="PVA265" s="305"/>
      <c r="PVE265" s="305"/>
      <c r="PVI265" s="305"/>
      <c r="PVM265" s="305"/>
      <c r="PVQ265" s="305"/>
      <c r="PVU265" s="305"/>
      <c r="PVY265" s="305"/>
      <c r="PWC265" s="305"/>
      <c r="PWG265" s="305"/>
      <c r="PWK265" s="305"/>
      <c r="PWO265" s="305"/>
      <c r="PWS265" s="305"/>
      <c r="PWW265" s="305"/>
      <c r="PXA265" s="305"/>
      <c r="PXE265" s="305"/>
      <c r="PXI265" s="305"/>
      <c r="PXM265" s="305"/>
      <c r="PXQ265" s="305"/>
      <c r="PXU265" s="305"/>
      <c r="PXY265" s="305"/>
      <c r="PYC265" s="305"/>
      <c r="PYG265" s="305"/>
      <c r="PYK265" s="305"/>
      <c r="PYO265" s="305"/>
      <c r="PYS265" s="305"/>
      <c r="PYW265" s="305"/>
      <c r="PZA265" s="305"/>
      <c r="PZE265" s="305"/>
      <c r="PZI265" s="305"/>
      <c r="PZM265" s="305"/>
      <c r="PZQ265" s="305"/>
      <c r="PZU265" s="305"/>
      <c r="PZY265" s="305"/>
      <c r="QAC265" s="305"/>
      <c r="QAG265" s="305"/>
      <c r="QAK265" s="305"/>
      <c r="QAO265" s="305"/>
      <c r="QAS265" s="305"/>
      <c r="QAW265" s="305"/>
      <c r="QBA265" s="305"/>
      <c r="QBE265" s="305"/>
      <c r="QBI265" s="305"/>
      <c r="QBM265" s="305"/>
      <c r="QBQ265" s="305"/>
      <c r="QBU265" s="305"/>
      <c r="QBY265" s="305"/>
      <c r="QCC265" s="305"/>
      <c r="QCG265" s="305"/>
      <c r="QCK265" s="305"/>
      <c r="QCO265" s="305"/>
      <c r="QCS265" s="305"/>
      <c r="QCW265" s="305"/>
      <c r="QDA265" s="305"/>
      <c r="QDE265" s="305"/>
      <c r="QDI265" s="305"/>
      <c r="QDM265" s="305"/>
      <c r="QDQ265" s="305"/>
      <c r="QDU265" s="305"/>
      <c r="QDY265" s="305"/>
      <c r="QEC265" s="305"/>
      <c r="QEG265" s="305"/>
      <c r="QEK265" s="305"/>
      <c r="QEO265" s="305"/>
      <c r="QES265" s="305"/>
      <c r="QEW265" s="305"/>
      <c r="QFA265" s="305"/>
      <c r="QFE265" s="305"/>
      <c r="QFI265" s="305"/>
      <c r="QFM265" s="305"/>
      <c r="QFQ265" s="305"/>
      <c r="QFU265" s="305"/>
      <c r="QFY265" s="305"/>
      <c r="QGC265" s="305"/>
      <c r="QGG265" s="305"/>
      <c r="QGK265" s="305"/>
      <c r="QGO265" s="305"/>
      <c r="QGS265" s="305"/>
      <c r="QGW265" s="305"/>
      <c r="QHA265" s="305"/>
      <c r="QHE265" s="305"/>
      <c r="QHI265" s="305"/>
      <c r="QHM265" s="305"/>
      <c r="QHQ265" s="305"/>
      <c r="QHU265" s="305"/>
      <c r="QHY265" s="305"/>
      <c r="QIC265" s="305"/>
      <c r="QIG265" s="305"/>
      <c r="QIK265" s="305"/>
      <c r="QIO265" s="305"/>
      <c r="QIS265" s="305"/>
      <c r="QIW265" s="305"/>
      <c r="QJA265" s="305"/>
      <c r="QJE265" s="305"/>
      <c r="QJI265" s="305"/>
      <c r="QJM265" s="305"/>
      <c r="QJQ265" s="305"/>
      <c r="QJU265" s="305"/>
      <c r="QJY265" s="305"/>
      <c r="QKC265" s="305"/>
      <c r="QKG265" s="305"/>
      <c r="QKK265" s="305"/>
      <c r="QKO265" s="305"/>
      <c r="QKS265" s="305"/>
      <c r="QKW265" s="305"/>
      <c r="QLA265" s="305"/>
      <c r="QLE265" s="305"/>
      <c r="QLI265" s="305"/>
      <c r="QLM265" s="305"/>
      <c r="QLQ265" s="305"/>
      <c r="QLU265" s="305"/>
      <c r="QLY265" s="305"/>
      <c r="QMC265" s="305"/>
      <c r="QMG265" s="305"/>
      <c r="QMK265" s="305"/>
      <c r="QMO265" s="305"/>
      <c r="QMS265" s="305"/>
      <c r="QMW265" s="305"/>
      <c r="QNA265" s="305"/>
      <c r="QNE265" s="305"/>
      <c r="QNI265" s="305"/>
      <c r="QNM265" s="305"/>
      <c r="QNQ265" s="305"/>
      <c r="QNU265" s="305"/>
      <c r="QNY265" s="305"/>
      <c r="QOC265" s="305"/>
      <c r="QOG265" s="305"/>
      <c r="QOK265" s="305"/>
      <c r="QOO265" s="305"/>
      <c r="QOS265" s="305"/>
      <c r="QOW265" s="305"/>
      <c r="QPA265" s="305"/>
      <c r="QPE265" s="305"/>
      <c r="QPI265" s="305"/>
      <c r="QPM265" s="305"/>
      <c r="QPQ265" s="305"/>
      <c r="QPU265" s="305"/>
      <c r="QPY265" s="305"/>
      <c r="QQC265" s="305"/>
      <c r="QQG265" s="305"/>
      <c r="QQK265" s="305"/>
      <c r="QQO265" s="305"/>
      <c r="QQS265" s="305"/>
      <c r="QQW265" s="305"/>
      <c r="QRA265" s="305"/>
      <c r="QRE265" s="305"/>
      <c r="QRI265" s="305"/>
      <c r="QRM265" s="305"/>
      <c r="QRQ265" s="305"/>
      <c r="QRU265" s="305"/>
      <c r="QRY265" s="305"/>
      <c r="QSC265" s="305"/>
      <c r="QSG265" s="305"/>
      <c r="QSK265" s="305"/>
      <c r="QSO265" s="305"/>
      <c r="QSS265" s="305"/>
      <c r="QSW265" s="305"/>
      <c r="QTA265" s="305"/>
      <c r="QTE265" s="305"/>
      <c r="QTI265" s="305"/>
      <c r="QTM265" s="305"/>
      <c r="QTQ265" s="305"/>
      <c r="QTU265" s="305"/>
      <c r="QTY265" s="305"/>
      <c r="QUC265" s="305"/>
      <c r="QUG265" s="305"/>
      <c r="QUK265" s="305"/>
      <c r="QUO265" s="305"/>
      <c r="QUS265" s="305"/>
      <c r="QUW265" s="305"/>
      <c r="QVA265" s="305"/>
      <c r="QVE265" s="305"/>
      <c r="QVI265" s="305"/>
      <c r="QVM265" s="305"/>
      <c r="QVQ265" s="305"/>
      <c r="QVU265" s="305"/>
      <c r="QVY265" s="305"/>
      <c r="QWC265" s="305"/>
      <c r="QWG265" s="305"/>
      <c r="QWK265" s="305"/>
      <c r="QWO265" s="305"/>
      <c r="QWS265" s="305"/>
      <c r="QWW265" s="305"/>
      <c r="QXA265" s="305"/>
      <c r="QXE265" s="305"/>
      <c r="QXI265" s="305"/>
      <c r="QXM265" s="305"/>
      <c r="QXQ265" s="305"/>
      <c r="QXU265" s="305"/>
      <c r="QXY265" s="305"/>
      <c r="QYC265" s="305"/>
      <c r="QYG265" s="305"/>
      <c r="QYK265" s="305"/>
      <c r="QYO265" s="305"/>
      <c r="QYS265" s="305"/>
      <c r="QYW265" s="305"/>
      <c r="QZA265" s="305"/>
      <c r="QZE265" s="305"/>
      <c r="QZI265" s="305"/>
      <c r="QZM265" s="305"/>
      <c r="QZQ265" s="305"/>
      <c r="QZU265" s="305"/>
      <c r="QZY265" s="305"/>
      <c r="RAC265" s="305"/>
      <c r="RAG265" s="305"/>
      <c r="RAK265" s="305"/>
      <c r="RAO265" s="305"/>
      <c r="RAS265" s="305"/>
      <c r="RAW265" s="305"/>
      <c r="RBA265" s="305"/>
      <c r="RBE265" s="305"/>
      <c r="RBI265" s="305"/>
      <c r="RBM265" s="305"/>
      <c r="RBQ265" s="305"/>
      <c r="RBU265" s="305"/>
      <c r="RBY265" s="305"/>
      <c r="RCC265" s="305"/>
      <c r="RCG265" s="305"/>
      <c r="RCK265" s="305"/>
      <c r="RCO265" s="305"/>
      <c r="RCS265" s="305"/>
      <c r="RCW265" s="305"/>
      <c r="RDA265" s="305"/>
      <c r="RDE265" s="305"/>
      <c r="RDI265" s="305"/>
      <c r="RDM265" s="305"/>
      <c r="RDQ265" s="305"/>
      <c r="RDU265" s="305"/>
      <c r="RDY265" s="305"/>
      <c r="REC265" s="305"/>
      <c r="REG265" s="305"/>
      <c r="REK265" s="305"/>
      <c r="REO265" s="305"/>
      <c r="RES265" s="305"/>
      <c r="REW265" s="305"/>
      <c r="RFA265" s="305"/>
      <c r="RFE265" s="305"/>
      <c r="RFI265" s="305"/>
      <c r="RFM265" s="305"/>
      <c r="RFQ265" s="305"/>
      <c r="RFU265" s="305"/>
      <c r="RFY265" s="305"/>
      <c r="RGC265" s="305"/>
      <c r="RGG265" s="305"/>
      <c r="RGK265" s="305"/>
      <c r="RGO265" s="305"/>
      <c r="RGS265" s="305"/>
      <c r="RGW265" s="305"/>
      <c r="RHA265" s="305"/>
      <c r="RHE265" s="305"/>
      <c r="RHI265" s="305"/>
      <c r="RHM265" s="305"/>
      <c r="RHQ265" s="305"/>
      <c r="RHU265" s="305"/>
      <c r="RHY265" s="305"/>
      <c r="RIC265" s="305"/>
      <c r="RIG265" s="305"/>
      <c r="RIK265" s="305"/>
      <c r="RIO265" s="305"/>
      <c r="RIS265" s="305"/>
      <c r="RIW265" s="305"/>
      <c r="RJA265" s="305"/>
      <c r="RJE265" s="305"/>
      <c r="RJI265" s="305"/>
      <c r="RJM265" s="305"/>
      <c r="RJQ265" s="305"/>
      <c r="RJU265" s="305"/>
      <c r="RJY265" s="305"/>
      <c r="RKC265" s="305"/>
      <c r="RKG265" s="305"/>
      <c r="RKK265" s="305"/>
      <c r="RKO265" s="305"/>
      <c r="RKS265" s="305"/>
      <c r="RKW265" s="305"/>
      <c r="RLA265" s="305"/>
      <c r="RLE265" s="305"/>
      <c r="RLI265" s="305"/>
      <c r="RLM265" s="305"/>
      <c r="RLQ265" s="305"/>
      <c r="RLU265" s="305"/>
      <c r="RLY265" s="305"/>
      <c r="RMC265" s="305"/>
      <c r="RMG265" s="305"/>
      <c r="RMK265" s="305"/>
      <c r="RMO265" s="305"/>
      <c r="RMS265" s="305"/>
      <c r="RMW265" s="305"/>
      <c r="RNA265" s="305"/>
      <c r="RNE265" s="305"/>
      <c r="RNI265" s="305"/>
      <c r="RNM265" s="305"/>
      <c r="RNQ265" s="305"/>
      <c r="RNU265" s="305"/>
      <c r="RNY265" s="305"/>
      <c r="ROC265" s="305"/>
      <c r="ROG265" s="305"/>
      <c r="ROK265" s="305"/>
      <c r="ROO265" s="305"/>
      <c r="ROS265" s="305"/>
      <c r="ROW265" s="305"/>
      <c r="RPA265" s="305"/>
      <c r="RPE265" s="305"/>
      <c r="RPI265" s="305"/>
      <c r="RPM265" s="305"/>
      <c r="RPQ265" s="305"/>
      <c r="RPU265" s="305"/>
      <c r="RPY265" s="305"/>
      <c r="RQC265" s="305"/>
      <c r="RQG265" s="305"/>
      <c r="RQK265" s="305"/>
      <c r="RQO265" s="305"/>
      <c r="RQS265" s="305"/>
      <c r="RQW265" s="305"/>
      <c r="RRA265" s="305"/>
      <c r="RRE265" s="305"/>
      <c r="RRI265" s="305"/>
      <c r="RRM265" s="305"/>
      <c r="RRQ265" s="305"/>
      <c r="RRU265" s="305"/>
      <c r="RRY265" s="305"/>
      <c r="RSC265" s="305"/>
      <c r="RSG265" s="305"/>
      <c r="RSK265" s="305"/>
      <c r="RSO265" s="305"/>
      <c r="RSS265" s="305"/>
      <c r="RSW265" s="305"/>
      <c r="RTA265" s="305"/>
      <c r="RTE265" s="305"/>
      <c r="RTI265" s="305"/>
      <c r="RTM265" s="305"/>
      <c r="RTQ265" s="305"/>
      <c r="RTU265" s="305"/>
      <c r="RTY265" s="305"/>
      <c r="RUC265" s="305"/>
      <c r="RUG265" s="305"/>
      <c r="RUK265" s="305"/>
      <c r="RUO265" s="305"/>
      <c r="RUS265" s="305"/>
      <c r="RUW265" s="305"/>
      <c r="RVA265" s="305"/>
      <c r="RVE265" s="305"/>
      <c r="RVI265" s="305"/>
      <c r="RVM265" s="305"/>
      <c r="RVQ265" s="305"/>
      <c r="RVU265" s="305"/>
      <c r="RVY265" s="305"/>
      <c r="RWC265" s="305"/>
      <c r="RWG265" s="305"/>
      <c r="RWK265" s="305"/>
      <c r="RWO265" s="305"/>
      <c r="RWS265" s="305"/>
      <c r="RWW265" s="305"/>
      <c r="RXA265" s="305"/>
      <c r="RXE265" s="305"/>
      <c r="RXI265" s="305"/>
      <c r="RXM265" s="305"/>
      <c r="RXQ265" s="305"/>
      <c r="RXU265" s="305"/>
      <c r="RXY265" s="305"/>
      <c r="RYC265" s="305"/>
      <c r="RYG265" s="305"/>
      <c r="RYK265" s="305"/>
      <c r="RYO265" s="305"/>
      <c r="RYS265" s="305"/>
      <c r="RYW265" s="305"/>
      <c r="RZA265" s="305"/>
      <c r="RZE265" s="305"/>
      <c r="RZI265" s="305"/>
      <c r="RZM265" s="305"/>
      <c r="RZQ265" s="305"/>
      <c r="RZU265" s="305"/>
      <c r="RZY265" s="305"/>
      <c r="SAC265" s="305"/>
      <c r="SAG265" s="305"/>
      <c r="SAK265" s="305"/>
      <c r="SAO265" s="305"/>
      <c r="SAS265" s="305"/>
      <c r="SAW265" s="305"/>
      <c r="SBA265" s="305"/>
      <c r="SBE265" s="305"/>
      <c r="SBI265" s="305"/>
      <c r="SBM265" s="305"/>
      <c r="SBQ265" s="305"/>
      <c r="SBU265" s="305"/>
      <c r="SBY265" s="305"/>
      <c r="SCC265" s="305"/>
      <c r="SCG265" s="305"/>
      <c r="SCK265" s="305"/>
      <c r="SCO265" s="305"/>
      <c r="SCS265" s="305"/>
      <c r="SCW265" s="305"/>
      <c r="SDA265" s="305"/>
      <c r="SDE265" s="305"/>
      <c r="SDI265" s="305"/>
      <c r="SDM265" s="305"/>
      <c r="SDQ265" s="305"/>
      <c r="SDU265" s="305"/>
      <c r="SDY265" s="305"/>
      <c r="SEC265" s="305"/>
      <c r="SEG265" s="305"/>
      <c r="SEK265" s="305"/>
      <c r="SEO265" s="305"/>
      <c r="SES265" s="305"/>
      <c r="SEW265" s="305"/>
      <c r="SFA265" s="305"/>
      <c r="SFE265" s="305"/>
      <c r="SFI265" s="305"/>
      <c r="SFM265" s="305"/>
      <c r="SFQ265" s="305"/>
      <c r="SFU265" s="305"/>
      <c r="SFY265" s="305"/>
      <c r="SGC265" s="305"/>
      <c r="SGG265" s="305"/>
      <c r="SGK265" s="305"/>
      <c r="SGO265" s="305"/>
      <c r="SGS265" s="305"/>
      <c r="SGW265" s="305"/>
      <c r="SHA265" s="305"/>
      <c r="SHE265" s="305"/>
      <c r="SHI265" s="305"/>
      <c r="SHM265" s="305"/>
      <c r="SHQ265" s="305"/>
      <c r="SHU265" s="305"/>
      <c r="SHY265" s="305"/>
      <c r="SIC265" s="305"/>
      <c r="SIG265" s="305"/>
      <c r="SIK265" s="305"/>
      <c r="SIO265" s="305"/>
      <c r="SIS265" s="305"/>
      <c r="SIW265" s="305"/>
      <c r="SJA265" s="305"/>
      <c r="SJE265" s="305"/>
      <c r="SJI265" s="305"/>
      <c r="SJM265" s="305"/>
      <c r="SJQ265" s="305"/>
      <c r="SJU265" s="305"/>
      <c r="SJY265" s="305"/>
      <c r="SKC265" s="305"/>
      <c r="SKG265" s="305"/>
      <c r="SKK265" s="305"/>
      <c r="SKO265" s="305"/>
      <c r="SKS265" s="305"/>
      <c r="SKW265" s="305"/>
      <c r="SLA265" s="305"/>
      <c r="SLE265" s="305"/>
      <c r="SLI265" s="305"/>
      <c r="SLM265" s="305"/>
      <c r="SLQ265" s="305"/>
      <c r="SLU265" s="305"/>
      <c r="SLY265" s="305"/>
      <c r="SMC265" s="305"/>
      <c r="SMG265" s="305"/>
      <c r="SMK265" s="305"/>
      <c r="SMO265" s="305"/>
      <c r="SMS265" s="305"/>
      <c r="SMW265" s="305"/>
      <c r="SNA265" s="305"/>
      <c r="SNE265" s="305"/>
      <c r="SNI265" s="305"/>
      <c r="SNM265" s="305"/>
      <c r="SNQ265" s="305"/>
      <c r="SNU265" s="305"/>
      <c r="SNY265" s="305"/>
      <c r="SOC265" s="305"/>
      <c r="SOG265" s="305"/>
      <c r="SOK265" s="305"/>
      <c r="SOO265" s="305"/>
      <c r="SOS265" s="305"/>
      <c r="SOW265" s="305"/>
      <c r="SPA265" s="305"/>
      <c r="SPE265" s="305"/>
      <c r="SPI265" s="305"/>
      <c r="SPM265" s="305"/>
      <c r="SPQ265" s="305"/>
      <c r="SPU265" s="305"/>
      <c r="SPY265" s="305"/>
      <c r="SQC265" s="305"/>
      <c r="SQG265" s="305"/>
      <c r="SQK265" s="305"/>
      <c r="SQO265" s="305"/>
      <c r="SQS265" s="305"/>
      <c r="SQW265" s="305"/>
      <c r="SRA265" s="305"/>
      <c r="SRE265" s="305"/>
      <c r="SRI265" s="305"/>
      <c r="SRM265" s="305"/>
      <c r="SRQ265" s="305"/>
      <c r="SRU265" s="305"/>
      <c r="SRY265" s="305"/>
      <c r="SSC265" s="305"/>
      <c r="SSG265" s="305"/>
      <c r="SSK265" s="305"/>
      <c r="SSO265" s="305"/>
      <c r="SSS265" s="305"/>
      <c r="SSW265" s="305"/>
      <c r="STA265" s="305"/>
      <c r="STE265" s="305"/>
      <c r="STI265" s="305"/>
      <c r="STM265" s="305"/>
      <c r="STQ265" s="305"/>
      <c r="STU265" s="305"/>
      <c r="STY265" s="305"/>
      <c r="SUC265" s="305"/>
      <c r="SUG265" s="305"/>
      <c r="SUK265" s="305"/>
      <c r="SUO265" s="305"/>
      <c r="SUS265" s="305"/>
      <c r="SUW265" s="305"/>
      <c r="SVA265" s="305"/>
      <c r="SVE265" s="305"/>
      <c r="SVI265" s="305"/>
      <c r="SVM265" s="305"/>
      <c r="SVQ265" s="305"/>
      <c r="SVU265" s="305"/>
      <c r="SVY265" s="305"/>
      <c r="SWC265" s="305"/>
      <c r="SWG265" s="305"/>
      <c r="SWK265" s="305"/>
      <c r="SWO265" s="305"/>
      <c r="SWS265" s="305"/>
      <c r="SWW265" s="305"/>
      <c r="SXA265" s="305"/>
      <c r="SXE265" s="305"/>
      <c r="SXI265" s="305"/>
      <c r="SXM265" s="305"/>
      <c r="SXQ265" s="305"/>
      <c r="SXU265" s="305"/>
      <c r="SXY265" s="305"/>
      <c r="SYC265" s="305"/>
      <c r="SYG265" s="305"/>
      <c r="SYK265" s="305"/>
      <c r="SYO265" s="305"/>
      <c r="SYS265" s="305"/>
      <c r="SYW265" s="305"/>
      <c r="SZA265" s="305"/>
      <c r="SZE265" s="305"/>
      <c r="SZI265" s="305"/>
      <c r="SZM265" s="305"/>
      <c r="SZQ265" s="305"/>
      <c r="SZU265" s="305"/>
      <c r="SZY265" s="305"/>
      <c r="TAC265" s="305"/>
      <c r="TAG265" s="305"/>
      <c r="TAK265" s="305"/>
      <c r="TAO265" s="305"/>
      <c r="TAS265" s="305"/>
      <c r="TAW265" s="305"/>
      <c r="TBA265" s="305"/>
      <c r="TBE265" s="305"/>
      <c r="TBI265" s="305"/>
      <c r="TBM265" s="305"/>
      <c r="TBQ265" s="305"/>
      <c r="TBU265" s="305"/>
      <c r="TBY265" s="305"/>
      <c r="TCC265" s="305"/>
      <c r="TCG265" s="305"/>
      <c r="TCK265" s="305"/>
      <c r="TCO265" s="305"/>
      <c r="TCS265" s="305"/>
      <c r="TCW265" s="305"/>
      <c r="TDA265" s="305"/>
      <c r="TDE265" s="305"/>
      <c r="TDI265" s="305"/>
      <c r="TDM265" s="305"/>
      <c r="TDQ265" s="305"/>
      <c r="TDU265" s="305"/>
      <c r="TDY265" s="305"/>
      <c r="TEC265" s="305"/>
      <c r="TEG265" s="305"/>
      <c r="TEK265" s="305"/>
      <c r="TEO265" s="305"/>
      <c r="TES265" s="305"/>
      <c r="TEW265" s="305"/>
      <c r="TFA265" s="305"/>
      <c r="TFE265" s="305"/>
      <c r="TFI265" s="305"/>
      <c r="TFM265" s="305"/>
      <c r="TFQ265" s="305"/>
      <c r="TFU265" s="305"/>
      <c r="TFY265" s="305"/>
      <c r="TGC265" s="305"/>
      <c r="TGG265" s="305"/>
      <c r="TGK265" s="305"/>
      <c r="TGO265" s="305"/>
      <c r="TGS265" s="305"/>
      <c r="TGW265" s="305"/>
      <c r="THA265" s="305"/>
      <c r="THE265" s="305"/>
      <c r="THI265" s="305"/>
      <c r="THM265" s="305"/>
      <c r="THQ265" s="305"/>
      <c r="THU265" s="305"/>
      <c r="THY265" s="305"/>
      <c r="TIC265" s="305"/>
      <c r="TIG265" s="305"/>
      <c r="TIK265" s="305"/>
      <c r="TIO265" s="305"/>
      <c r="TIS265" s="305"/>
      <c r="TIW265" s="305"/>
      <c r="TJA265" s="305"/>
      <c r="TJE265" s="305"/>
      <c r="TJI265" s="305"/>
      <c r="TJM265" s="305"/>
      <c r="TJQ265" s="305"/>
      <c r="TJU265" s="305"/>
      <c r="TJY265" s="305"/>
      <c r="TKC265" s="305"/>
      <c r="TKG265" s="305"/>
      <c r="TKK265" s="305"/>
      <c r="TKO265" s="305"/>
      <c r="TKS265" s="305"/>
      <c r="TKW265" s="305"/>
      <c r="TLA265" s="305"/>
      <c r="TLE265" s="305"/>
      <c r="TLI265" s="305"/>
      <c r="TLM265" s="305"/>
      <c r="TLQ265" s="305"/>
      <c r="TLU265" s="305"/>
      <c r="TLY265" s="305"/>
      <c r="TMC265" s="305"/>
      <c r="TMG265" s="305"/>
      <c r="TMK265" s="305"/>
      <c r="TMO265" s="305"/>
      <c r="TMS265" s="305"/>
      <c r="TMW265" s="305"/>
      <c r="TNA265" s="305"/>
      <c r="TNE265" s="305"/>
      <c r="TNI265" s="305"/>
      <c r="TNM265" s="305"/>
      <c r="TNQ265" s="305"/>
      <c r="TNU265" s="305"/>
      <c r="TNY265" s="305"/>
      <c r="TOC265" s="305"/>
      <c r="TOG265" s="305"/>
      <c r="TOK265" s="305"/>
      <c r="TOO265" s="305"/>
      <c r="TOS265" s="305"/>
      <c r="TOW265" s="305"/>
      <c r="TPA265" s="305"/>
      <c r="TPE265" s="305"/>
      <c r="TPI265" s="305"/>
      <c r="TPM265" s="305"/>
      <c r="TPQ265" s="305"/>
      <c r="TPU265" s="305"/>
      <c r="TPY265" s="305"/>
      <c r="TQC265" s="305"/>
      <c r="TQG265" s="305"/>
      <c r="TQK265" s="305"/>
      <c r="TQO265" s="305"/>
      <c r="TQS265" s="305"/>
      <c r="TQW265" s="305"/>
      <c r="TRA265" s="305"/>
      <c r="TRE265" s="305"/>
      <c r="TRI265" s="305"/>
      <c r="TRM265" s="305"/>
      <c r="TRQ265" s="305"/>
      <c r="TRU265" s="305"/>
      <c r="TRY265" s="305"/>
      <c r="TSC265" s="305"/>
      <c r="TSG265" s="305"/>
      <c r="TSK265" s="305"/>
      <c r="TSO265" s="305"/>
      <c r="TSS265" s="305"/>
      <c r="TSW265" s="305"/>
      <c r="TTA265" s="305"/>
      <c r="TTE265" s="305"/>
      <c r="TTI265" s="305"/>
      <c r="TTM265" s="305"/>
      <c r="TTQ265" s="305"/>
      <c r="TTU265" s="305"/>
      <c r="TTY265" s="305"/>
      <c r="TUC265" s="305"/>
      <c r="TUG265" s="305"/>
      <c r="TUK265" s="305"/>
      <c r="TUO265" s="305"/>
      <c r="TUS265" s="305"/>
      <c r="TUW265" s="305"/>
      <c r="TVA265" s="305"/>
      <c r="TVE265" s="305"/>
      <c r="TVI265" s="305"/>
      <c r="TVM265" s="305"/>
      <c r="TVQ265" s="305"/>
      <c r="TVU265" s="305"/>
      <c r="TVY265" s="305"/>
      <c r="TWC265" s="305"/>
      <c r="TWG265" s="305"/>
      <c r="TWK265" s="305"/>
      <c r="TWO265" s="305"/>
      <c r="TWS265" s="305"/>
      <c r="TWW265" s="305"/>
      <c r="TXA265" s="305"/>
      <c r="TXE265" s="305"/>
      <c r="TXI265" s="305"/>
      <c r="TXM265" s="305"/>
      <c r="TXQ265" s="305"/>
      <c r="TXU265" s="305"/>
      <c r="TXY265" s="305"/>
      <c r="TYC265" s="305"/>
      <c r="TYG265" s="305"/>
      <c r="TYK265" s="305"/>
      <c r="TYO265" s="305"/>
      <c r="TYS265" s="305"/>
      <c r="TYW265" s="305"/>
      <c r="TZA265" s="305"/>
      <c r="TZE265" s="305"/>
      <c r="TZI265" s="305"/>
      <c r="TZM265" s="305"/>
      <c r="TZQ265" s="305"/>
      <c r="TZU265" s="305"/>
      <c r="TZY265" s="305"/>
      <c r="UAC265" s="305"/>
      <c r="UAG265" s="305"/>
      <c r="UAK265" s="305"/>
      <c r="UAO265" s="305"/>
      <c r="UAS265" s="305"/>
      <c r="UAW265" s="305"/>
      <c r="UBA265" s="305"/>
      <c r="UBE265" s="305"/>
      <c r="UBI265" s="305"/>
      <c r="UBM265" s="305"/>
      <c r="UBQ265" s="305"/>
      <c r="UBU265" s="305"/>
      <c r="UBY265" s="305"/>
      <c r="UCC265" s="305"/>
      <c r="UCG265" s="305"/>
      <c r="UCK265" s="305"/>
      <c r="UCO265" s="305"/>
      <c r="UCS265" s="305"/>
      <c r="UCW265" s="305"/>
      <c r="UDA265" s="305"/>
      <c r="UDE265" s="305"/>
      <c r="UDI265" s="305"/>
      <c r="UDM265" s="305"/>
      <c r="UDQ265" s="305"/>
      <c r="UDU265" s="305"/>
      <c r="UDY265" s="305"/>
      <c r="UEC265" s="305"/>
      <c r="UEG265" s="305"/>
      <c r="UEK265" s="305"/>
      <c r="UEO265" s="305"/>
      <c r="UES265" s="305"/>
      <c r="UEW265" s="305"/>
      <c r="UFA265" s="305"/>
      <c r="UFE265" s="305"/>
      <c r="UFI265" s="305"/>
      <c r="UFM265" s="305"/>
      <c r="UFQ265" s="305"/>
      <c r="UFU265" s="305"/>
      <c r="UFY265" s="305"/>
      <c r="UGC265" s="305"/>
      <c r="UGG265" s="305"/>
      <c r="UGK265" s="305"/>
      <c r="UGO265" s="305"/>
      <c r="UGS265" s="305"/>
      <c r="UGW265" s="305"/>
      <c r="UHA265" s="305"/>
      <c r="UHE265" s="305"/>
      <c r="UHI265" s="305"/>
      <c r="UHM265" s="305"/>
      <c r="UHQ265" s="305"/>
      <c r="UHU265" s="305"/>
      <c r="UHY265" s="305"/>
      <c r="UIC265" s="305"/>
      <c r="UIG265" s="305"/>
      <c r="UIK265" s="305"/>
      <c r="UIO265" s="305"/>
      <c r="UIS265" s="305"/>
      <c r="UIW265" s="305"/>
      <c r="UJA265" s="305"/>
      <c r="UJE265" s="305"/>
      <c r="UJI265" s="305"/>
      <c r="UJM265" s="305"/>
      <c r="UJQ265" s="305"/>
      <c r="UJU265" s="305"/>
      <c r="UJY265" s="305"/>
      <c r="UKC265" s="305"/>
      <c r="UKG265" s="305"/>
      <c r="UKK265" s="305"/>
      <c r="UKO265" s="305"/>
      <c r="UKS265" s="305"/>
      <c r="UKW265" s="305"/>
      <c r="ULA265" s="305"/>
      <c r="ULE265" s="305"/>
      <c r="ULI265" s="305"/>
      <c r="ULM265" s="305"/>
      <c r="ULQ265" s="305"/>
      <c r="ULU265" s="305"/>
      <c r="ULY265" s="305"/>
      <c r="UMC265" s="305"/>
      <c r="UMG265" s="305"/>
      <c r="UMK265" s="305"/>
      <c r="UMO265" s="305"/>
      <c r="UMS265" s="305"/>
      <c r="UMW265" s="305"/>
      <c r="UNA265" s="305"/>
      <c r="UNE265" s="305"/>
      <c r="UNI265" s="305"/>
      <c r="UNM265" s="305"/>
      <c r="UNQ265" s="305"/>
      <c r="UNU265" s="305"/>
      <c r="UNY265" s="305"/>
      <c r="UOC265" s="305"/>
      <c r="UOG265" s="305"/>
      <c r="UOK265" s="305"/>
      <c r="UOO265" s="305"/>
      <c r="UOS265" s="305"/>
      <c r="UOW265" s="305"/>
      <c r="UPA265" s="305"/>
      <c r="UPE265" s="305"/>
      <c r="UPI265" s="305"/>
      <c r="UPM265" s="305"/>
      <c r="UPQ265" s="305"/>
      <c r="UPU265" s="305"/>
      <c r="UPY265" s="305"/>
      <c r="UQC265" s="305"/>
      <c r="UQG265" s="305"/>
      <c r="UQK265" s="305"/>
      <c r="UQO265" s="305"/>
      <c r="UQS265" s="305"/>
      <c r="UQW265" s="305"/>
      <c r="URA265" s="305"/>
      <c r="URE265" s="305"/>
      <c r="URI265" s="305"/>
      <c r="URM265" s="305"/>
      <c r="URQ265" s="305"/>
      <c r="URU265" s="305"/>
      <c r="URY265" s="305"/>
      <c r="USC265" s="305"/>
      <c r="USG265" s="305"/>
      <c r="USK265" s="305"/>
      <c r="USO265" s="305"/>
      <c r="USS265" s="305"/>
      <c r="USW265" s="305"/>
      <c r="UTA265" s="305"/>
      <c r="UTE265" s="305"/>
      <c r="UTI265" s="305"/>
      <c r="UTM265" s="305"/>
      <c r="UTQ265" s="305"/>
      <c r="UTU265" s="305"/>
      <c r="UTY265" s="305"/>
      <c r="UUC265" s="305"/>
      <c r="UUG265" s="305"/>
      <c r="UUK265" s="305"/>
      <c r="UUO265" s="305"/>
      <c r="UUS265" s="305"/>
      <c r="UUW265" s="305"/>
      <c r="UVA265" s="305"/>
      <c r="UVE265" s="305"/>
      <c r="UVI265" s="305"/>
      <c r="UVM265" s="305"/>
      <c r="UVQ265" s="305"/>
      <c r="UVU265" s="305"/>
      <c r="UVY265" s="305"/>
      <c r="UWC265" s="305"/>
      <c r="UWG265" s="305"/>
      <c r="UWK265" s="305"/>
      <c r="UWO265" s="305"/>
      <c r="UWS265" s="305"/>
      <c r="UWW265" s="305"/>
      <c r="UXA265" s="305"/>
      <c r="UXE265" s="305"/>
      <c r="UXI265" s="305"/>
      <c r="UXM265" s="305"/>
      <c r="UXQ265" s="305"/>
      <c r="UXU265" s="305"/>
      <c r="UXY265" s="305"/>
      <c r="UYC265" s="305"/>
      <c r="UYG265" s="305"/>
      <c r="UYK265" s="305"/>
      <c r="UYO265" s="305"/>
      <c r="UYS265" s="305"/>
      <c r="UYW265" s="305"/>
      <c r="UZA265" s="305"/>
      <c r="UZE265" s="305"/>
      <c r="UZI265" s="305"/>
      <c r="UZM265" s="305"/>
      <c r="UZQ265" s="305"/>
      <c r="UZU265" s="305"/>
      <c r="UZY265" s="305"/>
      <c r="VAC265" s="305"/>
      <c r="VAG265" s="305"/>
      <c r="VAK265" s="305"/>
      <c r="VAO265" s="305"/>
      <c r="VAS265" s="305"/>
      <c r="VAW265" s="305"/>
      <c r="VBA265" s="305"/>
      <c r="VBE265" s="305"/>
      <c r="VBI265" s="305"/>
      <c r="VBM265" s="305"/>
      <c r="VBQ265" s="305"/>
      <c r="VBU265" s="305"/>
      <c r="VBY265" s="305"/>
      <c r="VCC265" s="305"/>
      <c r="VCG265" s="305"/>
      <c r="VCK265" s="305"/>
      <c r="VCO265" s="305"/>
      <c r="VCS265" s="305"/>
      <c r="VCW265" s="305"/>
      <c r="VDA265" s="305"/>
      <c r="VDE265" s="305"/>
      <c r="VDI265" s="305"/>
      <c r="VDM265" s="305"/>
      <c r="VDQ265" s="305"/>
      <c r="VDU265" s="305"/>
      <c r="VDY265" s="305"/>
      <c r="VEC265" s="305"/>
      <c r="VEG265" s="305"/>
      <c r="VEK265" s="305"/>
      <c r="VEO265" s="305"/>
      <c r="VES265" s="305"/>
      <c r="VEW265" s="305"/>
      <c r="VFA265" s="305"/>
      <c r="VFE265" s="305"/>
      <c r="VFI265" s="305"/>
      <c r="VFM265" s="305"/>
      <c r="VFQ265" s="305"/>
      <c r="VFU265" s="305"/>
      <c r="VFY265" s="305"/>
      <c r="VGC265" s="305"/>
      <c r="VGG265" s="305"/>
      <c r="VGK265" s="305"/>
      <c r="VGO265" s="305"/>
      <c r="VGS265" s="305"/>
      <c r="VGW265" s="305"/>
      <c r="VHA265" s="305"/>
      <c r="VHE265" s="305"/>
      <c r="VHI265" s="305"/>
      <c r="VHM265" s="305"/>
      <c r="VHQ265" s="305"/>
      <c r="VHU265" s="305"/>
      <c r="VHY265" s="305"/>
      <c r="VIC265" s="305"/>
      <c r="VIG265" s="305"/>
      <c r="VIK265" s="305"/>
      <c r="VIO265" s="305"/>
      <c r="VIS265" s="305"/>
      <c r="VIW265" s="305"/>
      <c r="VJA265" s="305"/>
      <c r="VJE265" s="305"/>
      <c r="VJI265" s="305"/>
      <c r="VJM265" s="305"/>
      <c r="VJQ265" s="305"/>
      <c r="VJU265" s="305"/>
      <c r="VJY265" s="305"/>
      <c r="VKC265" s="305"/>
      <c r="VKG265" s="305"/>
      <c r="VKK265" s="305"/>
      <c r="VKO265" s="305"/>
      <c r="VKS265" s="305"/>
      <c r="VKW265" s="305"/>
      <c r="VLA265" s="305"/>
      <c r="VLE265" s="305"/>
      <c r="VLI265" s="305"/>
      <c r="VLM265" s="305"/>
      <c r="VLQ265" s="305"/>
      <c r="VLU265" s="305"/>
      <c r="VLY265" s="305"/>
      <c r="VMC265" s="305"/>
      <c r="VMG265" s="305"/>
      <c r="VMK265" s="305"/>
      <c r="VMO265" s="305"/>
      <c r="VMS265" s="305"/>
      <c r="VMW265" s="305"/>
      <c r="VNA265" s="305"/>
      <c r="VNE265" s="305"/>
      <c r="VNI265" s="305"/>
      <c r="VNM265" s="305"/>
      <c r="VNQ265" s="305"/>
      <c r="VNU265" s="305"/>
      <c r="VNY265" s="305"/>
      <c r="VOC265" s="305"/>
      <c r="VOG265" s="305"/>
      <c r="VOK265" s="305"/>
      <c r="VOO265" s="305"/>
      <c r="VOS265" s="305"/>
      <c r="VOW265" s="305"/>
      <c r="VPA265" s="305"/>
      <c r="VPE265" s="305"/>
      <c r="VPI265" s="305"/>
      <c r="VPM265" s="305"/>
      <c r="VPQ265" s="305"/>
      <c r="VPU265" s="305"/>
      <c r="VPY265" s="305"/>
      <c r="VQC265" s="305"/>
      <c r="VQG265" s="305"/>
      <c r="VQK265" s="305"/>
      <c r="VQO265" s="305"/>
      <c r="VQS265" s="305"/>
      <c r="VQW265" s="305"/>
      <c r="VRA265" s="305"/>
      <c r="VRE265" s="305"/>
      <c r="VRI265" s="305"/>
      <c r="VRM265" s="305"/>
      <c r="VRQ265" s="305"/>
      <c r="VRU265" s="305"/>
      <c r="VRY265" s="305"/>
      <c r="VSC265" s="305"/>
      <c r="VSG265" s="305"/>
      <c r="VSK265" s="305"/>
      <c r="VSO265" s="305"/>
      <c r="VSS265" s="305"/>
      <c r="VSW265" s="305"/>
      <c r="VTA265" s="305"/>
      <c r="VTE265" s="305"/>
      <c r="VTI265" s="305"/>
      <c r="VTM265" s="305"/>
      <c r="VTQ265" s="305"/>
      <c r="VTU265" s="305"/>
      <c r="VTY265" s="305"/>
      <c r="VUC265" s="305"/>
      <c r="VUG265" s="305"/>
      <c r="VUK265" s="305"/>
      <c r="VUO265" s="305"/>
      <c r="VUS265" s="305"/>
      <c r="VUW265" s="305"/>
      <c r="VVA265" s="305"/>
      <c r="VVE265" s="305"/>
      <c r="VVI265" s="305"/>
      <c r="VVM265" s="305"/>
      <c r="VVQ265" s="305"/>
      <c r="VVU265" s="305"/>
      <c r="VVY265" s="305"/>
      <c r="VWC265" s="305"/>
      <c r="VWG265" s="305"/>
      <c r="VWK265" s="305"/>
      <c r="VWO265" s="305"/>
      <c r="VWS265" s="305"/>
      <c r="VWW265" s="305"/>
      <c r="VXA265" s="305"/>
      <c r="VXE265" s="305"/>
      <c r="VXI265" s="305"/>
      <c r="VXM265" s="305"/>
      <c r="VXQ265" s="305"/>
      <c r="VXU265" s="305"/>
      <c r="VXY265" s="305"/>
      <c r="VYC265" s="305"/>
      <c r="VYG265" s="305"/>
      <c r="VYK265" s="305"/>
      <c r="VYO265" s="305"/>
      <c r="VYS265" s="305"/>
      <c r="VYW265" s="305"/>
      <c r="VZA265" s="305"/>
      <c r="VZE265" s="305"/>
      <c r="VZI265" s="305"/>
      <c r="VZM265" s="305"/>
      <c r="VZQ265" s="305"/>
      <c r="VZU265" s="305"/>
      <c r="VZY265" s="305"/>
      <c r="WAC265" s="305"/>
      <c r="WAG265" s="305"/>
      <c r="WAK265" s="305"/>
      <c r="WAO265" s="305"/>
      <c r="WAS265" s="305"/>
      <c r="WAW265" s="305"/>
      <c r="WBA265" s="305"/>
      <c r="WBE265" s="305"/>
      <c r="WBI265" s="305"/>
      <c r="WBM265" s="305"/>
      <c r="WBQ265" s="305"/>
      <c r="WBU265" s="305"/>
      <c r="WBY265" s="305"/>
      <c r="WCC265" s="305"/>
      <c r="WCG265" s="305"/>
      <c r="WCK265" s="305"/>
      <c r="WCO265" s="305"/>
      <c r="WCS265" s="305"/>
      <c r="WCW265" s="305"/>
      <c r="WDA265" s="305"/>
      <c r="WDE265" s="305"/>
      <c r="WDI265" s="305"/>
      <c r="WDM265" s="305"/>
      <c r="WDQ265" s="305"/>
      <c r="WDU265" s="305"/>
      <c r="WDY265" s="305"/>
      <c r="WEC265" s="305"/>
      <c r="WEG265" s="305"/>
      <c r="WEK265" s="305"/>
      <c r="WEO265" s="305"/>
      <c r="WES265" s="305"/>
      <c r="WEW265" s="305"/>
      <c r="WFA265" s="305"/>
      <c r="WFE265" s="305"/>
      <c r="WFI265" s="305"/>
      <c r="WFM265" s="305"/>
      <c r="WFQ265" s="305"/>
      <c r="WFU265" s="305"/>
      <c r="WFY265" s="305"/>
      <c r="WGC265" s="305"/>
      <c r="WGG265" s="305"/>
      <c r="WGK265" s="305"/>
      <c r="WGO265" s="305"/>
      <c r="WGS265" s="305"/>
      <c r="WGW265" s="305"/>
      <c r="WHA265" s="305"/>
      <c r="WHE265" s="305"/>
      <c r="WHI265" s="305"/>
      <c r="WHM265" s="305"/>
      <c r="WHQ265" s="305"/>
      <c r="WHU265" s="305"/>
      <c r="WHY265" s="305"/>
      <c r="WIC265" s="305"/>
      <c r="WIG265" s="305"/>
      <c r="WIK265" s="305"/>
      <c r="WIO265" s="305"/>
      <c r="WIS265" s="305"/>
      <c r="WIW265" s="305"/>
      <c r="WJA265" s="305"/>
      <c r="WJE265" s="305"/>
      <c r="WJI265" s="305"/>
      <c r="WJM265" s="305"/>
      <c r="WJQ265" s="305"/>
      <c r="WJU265" s="305"/>
      <c r="WJY265" s="305"/>
      <c r="WKC265" s="305"/>
      <c r="WKG265" s="305"/>
      <c r="WKK265" s="305"/>
      <c r="WKO265" s="305"/>
      <c r="WKS265" s="305"/>
      <c r="WKW265" s="305"/>
      <c r="WLA265" s="305"/>
      <c r="WLE265" s="305"/>
      <c r="WLI265" s="305"/>
      <c r="WLM265" s="305"/>
      <c r="WLQ265" s="305"/>
      <c r="WLU265" s="305"/>
      <c r="WLY265" s="305"/>
      <c r="WMC265" s="305"/>
      <c r="WMG265" s="305"/>
      <c r="WMK265" s="305"/>
      <c r="WMO265" s="305"/>
      <c r="WMS265" s="305"/>
      <c r="WMW265" s="305"/>
      <c r="WNA265" s="305"/>
      <c r="WNE265" s="305"/>
      <c r="WNI265" s="305"/>
      <c r="WNM265" s="305"/>
      <c r="WNQ265" s="305"/>
      <c r="WNU265" s="305"/>
      <c r="WNY265" s="305"/>
      <c r="WOC265" s="305"/>
      <c r="WOG265" s="305"/>
      <c r="WOK265" s="305"/>
      <c r="WOO265" s="305"/>
      <c r="WOS265" s="305"/>
      <c r="WOW265" s="305"/>
      <c r="WPA265" s="305"/>
      <c r="WPE265" s="305"/>
      <c r="WPI265" s="305"/>
      <c r="WPM265" s="305"/>
      <c r="WPQ265" s="305"/>
      <c r="WPU265" s="305"/>
      <c r="WPY265" s="305"/>
      <c r="WQC265" s="305"/>
      <c r="WQG265" s="305"/>
      <c r="WQK265" s="305"/>
      <c r="WQO265" s="305"/>
      <c r="WQS265" s="305"/>
      <c r="WQW265" s="305"/>
      <c r="WRA265" s="305"/>
      <c r="WRE265" s="305"/>
      <c r="WRI265" s="305"/>
      <c r="WRM265" s="305"/>
      <c r="WRQ265" s="305"/>
      <c r="WRU265" s="305"/>
      <c r="WRY265" s="305"/>
      <c r="WSC265" s="305"/>
      <c r="WSG265" s="305"/>
      <c r="WSK265" s="305"/>
      <c r="WSO265" s="305"/>
      <c r="WSS265" s="305"/>
      <c r="WSW265" s="305"/>
      <c r="WTA265" s="305"/>
      <c r="WTE265" s="305"/>
      <c r="WTI265" s="305"/>
      <c r="WTM265" s="305"/>
      <c r="WTQ265" s="305"/>
      <c r="WTU265" s="305"/>
      <c r="WTY265" s="305"/>
      <c r="WUC265" s="305"/>
      <c r="WUG265" s="305"/>
      <c r="WUK265" s="305"/>
      <c r="WUO265" s="305"/>
      <c r="WUS265" s="305"/>
      <c r="WUW265" s="305"/>
      <c r="WVA265" s="305"/>
      <c r="WVE265" s="305"/>
      <c r="WVI265" s="305"/>
      <c r="WVM265" s="305"/>
      <c r="WVQ265" s="305"/>
      <c r="WVU265" s="305"/>
      <c r="WVY265" s="305"/>
      <c r="WWC265" s="305"/>
      <c r="WWG265" s="305"/>
      <c r="WWK265" s="305"/>
      <c r="WWO265" s="305"/>
      <c r="WWS265" s="305"/>
      <c r="WWW265" s="305"/>
      <c r="WXA265" s="305"/>
      <c r="WXE265" s="305"/>
      <c r="WXI265" s="305"/>
      <c r="WXM265" s="305"/>
      <c r="WXQ265" s="305"/>
      <c r="WXU265" s="305"/>
      <c r="WXY265" s="305"/>
      <c r="WYC265" s="305"/>
      <c r="WYG265" s="305"/>
      <c r="WYK265" s="305"/>
      <c r="WYO265" s="305"/>
      <c r="WYS265" s="305"/>
      <c r="WYW265" s="305"/>
      <c r="WZA265" s="305"/>
      <c r="WZE265" s="305"/>
      <c r="WZI265" s="305"/>
      <c r="WZM265" s="305"/>
      <c r="WZQ265" s="305"/>
      <c r="WZU265" s="305"/>
      <c r="WZY265" s="305"/>
      <c r="XAC265" s="305"/>
      <c r="XAG265" s="305"/>
      <c r="XAK265" s="305"/>
      <c r="XAO265" s="305"/>
      <c r="XAS265" s="305"/>
      <c r="XAW265" s="305"/>
      <c r="XBA265" s="305"/>
      <c r="XBE265" s="305"/>
      <c r="XBI265" s="305"/>
      <c r="XBM265" s="305"/>
      <c r="XBQ265" s="305"/>
      <c r="XBU265" s="305"/>
      <c r="XBY265" s="305"/>
      <c r="XCC265" s="305"/>
      <c r="XCG265" s="305"/>
      <c r="XCK265" s="305"/>
      <c r="XCO265" s="305"/>
      <c r="XCS265" s="305"/>
      <c r="XCW265" s="305"/>
      <c r="XDA265" s="305"/>
      <c r="XDE265" s="305"/>
      <c r="XDI265" s="305"/>
      <c r="XDM265" s="305"/>
      <c r="XDQ265" s="305"/>
      <c r="XDU265" s="305"/>
      <c r="XDY265" s="305"/>
      <c r="XEC265" s="305"/>
      <c r="XEG265" s="305"/>
      <c r="XEK265" s="305"/>
      <c r="XEO265" s="305"/>
      <c r="XES265" s="305"/>
      <c r="XEW265" s="305"/>
      <c r="XFA265" s="305"/>
    </row>
    <row r="266" spans="1:1021 1025:2045 2049:3069 3073:4093 4097:5117 5121:6141 6145:7165 7169:8189 8193:9213 9217:10237 10241:11261 11265:12285 12289:13309 13313:14333 14337:15357 15361:16381">
      <c r="B266" s="682"/>
      <c r="C266" s="682"/>
      <c r="D266" s="682"/>
      <c r="E266" s="683"/>
      <c r="F266" s="683"/>
      <c r="G266" s="683"/>
      <c r="H266" s="683"/>
      <c r="I266" s="683"/>
    </row>
    <row r="267" spans="1:1021 1025:2045 2049:3069 3073:4093 4097:5117 5121:6141 6145:7165 7169:8189 8193:9213 9217:10237 10241:11261 11265:12285 12289:13309 13313:14333 14337:15357 15361:16381">
      <c r="A267" s="109" t="s">
        <v>859</v>
      </c>
      <c r="B267" s="679">
        <v>894.7</v>
      </c>
      <c r="C267" s="679">
        <v>974.2</v>
      </c>
      <c r="D267" s="679">
        <v>1137.8</v>
      </c>
      <c r="E267" s="680">
        <f>E269*E270</f>
        <v>1282.8561129510197</v>
      </c>
      <c r="F267" s="680">
        <f t="shared" ref="F267:I267" si="105">F269*F270</f>
        <v>1389.7233383475684</v>
      </c>
      <c r="G267" s="680">
        <f t="shared" si="105"/>
        <v>1501.8480267662544</v>
      </c>
      <c r="H267" s="680">
        <f t="shared" si="105"/>
        <v>1619.4494454855485</v>
      </c>
      <c r="I267" s="680">
        <f t="shared" si="105"/>
        <v>1742.7552861039107</v>
      </c>
    </row>
    <row r="268" spans="1:1021 1025:2045 2049:3069 3073:4093 4097:5117 5121:6141 6145:7165 7169:8189 8193:9213 9217:10237 10241:11261 11265:12285 12289:13309 13313:14333 14337:15357 15361:16381">
      <c r="A268" s="678" t="s">
        <v>858</v>
      </c>
      <c r="B268" s="684">
        <f t="shared" ref="B268:I268" si="106">B95+B118+B142+B166</f>
        <v>10143</v>
      </c>
      <c r="C268" s="684">
        <f t="shared" si="106"/>
        <v>10713</v>
      </c>
      <c r="D268" s="684">
        <f t="shared" si="106"/>
        <v>12235</v>
      </c>
      <c r="E268" s="685">
        <f t="shared" si="106"/>
        <v>12885</v>
      </c>
      <c r="F268" s="685">
        <f t="shared" si="106"/>
        <v>13535</v>
      </c>
      <c r="G268" s="685">
        <f t="shared" si="106"/>
        <v>14185</v>
      </c>
      <c r="H268" s="685">
        <f t="shared" si="106"/>
        <v>14835</v>
      </c>
      <c r="I268" s="685">
        <f t="shared" si="106"/>
        <v>15485</v>
      </c>
    </row>
    <row r="269" spans="1:1021 1025:2045 2049:3069 3073:4093 4097:5117 5121:6141 6145:7165 7169:8189 8193:9213 9217:10237 10241:11261 11265:12285 12289:13309 13313:14333 14337:15357 15361:16381">
      <c r="A269" s="678" t="s">
        <v>851</v>
      </c>
      <c r="B269" s="686"/>
      <c r="C269" s="686">
        <f>(B268+C268)/2</f>
        <v>10428</v>
      </c>
      <c r="D269" s="686">
        <f>(C268+D268)/2</f>
        <v>11474</v>
      </c>
      <c r="E269" s="687">
        <f t="shared" ref="E269:I269" si="107">(D268+E268)/2</f>
        <v>12560</v>
      </c>
      <c r="F269" s="687">
        <f t="shared" si="107"/>
        <v>13210</v>
      </c>
      <c r="G269" s="687">
        <f t="shared" si="107"/>
        <v>13860</v>
      </c>
      <c r="H269" s="687">
        <f t="shared" si="107"/>
        <v>14510</v>
      </c>
      <c r="I269" s="687">
        <f t="shared" si="107"/>
        <v>15160</v>
      </c>
    </row>
    <row r="270" spans="1:1021 1025:2045 2049:3069 3073:4093 4097:5117 5121:6141 6145:7165 7169:8189 8193:9213 9217:10237 10241:11261 11265:12285 12289:13309 13313:14333 14337:15357 15361:16381">
      <c r="A270" s="678" t="s">
        <v>852</v>
      </c>
      <c r="B270" s="688"/>
      <c r="C270" s="689">
        <f>C267/C269</f>
        <v>9.3421557345607989E-2</v>
      </c>
      <c r="D270" s="689">
        <f>D267/D269</f>
        <v>9.9163325780024403E-2</v>
      </c>
      <c r="E270" s="690">
        <f>D270*(1+E271)</f>
        <v>0.10213822555342514</v>
      </c>
      <c r="F270" s="690">
        <f t="shared" ref="F270:I270" si="108">E270*(1+F271)</f>
        <v>0.1052023723200279</v>
      </c>
      <c r="G270" s="690">
        <f t="shared" si="108"/>
        <v>0.10835844348962874</v>
      </c>
      <c r="H270" s="690">
        <f t="shared" si="108"/>
        <v>0.11160919679431761</v>
      </c>
      <c r="I270" s="690">
        <f t="shared" si="108"/>
        <v>0.11495747269814714</v>
      </c>
    </row>
    <row r="271" spans="1:1021 1025:2045 2049:3069 3073:4093 4097:5117 5121:6141 6145:7165 7169:8189 8193:9213 9217:10237 10241:11261 11265:12285 12289:13309 13313:14333 14337:15357 15361:16381">
      <c r="A271" s="678" t="s">
        <v>856</v>
      </c>
      <c r="B271" s="688"/>
      <c r="C271" s="689"/>
      <c r="D271" s="689"/>
      <c r="E271" s="691">
        <v>0.03</v>
      </c>
      <c r="F271" s="691">
        <f>E271</f>
        <v>0.03</v>
      </c>
      <c r="G271" s="691">
        <f t="shared" ref="G271:I271" si="109">F271</f>
        <v>0.03</v>
      </c>
      <c r="H271" s="691">
        <f t="shared" si="109"/>
        <v>0.03</v>
      </c>
      <c r="I271" s="691">
        <f t="shared" si="109"/>
        <v>0.03</v>
      </c>
    </row>
    <row r="272" spans="1:1021 1025:2045 2049:3069 3073:4093 4097:5117 5121:6141 6145:7165 7169:8189 8193:9213 9217:10237 10241:11261 11265:12285 12289:13309 13313:14333 14337:15357 15361:16381">
      <c r="A272" s="678"/>
      <c r="B272" s="688"/>
      <c r="C272" s="689"/>
      <c r="D272" s="689"/>
      <c r="E272" s="683"/>
      <c r="F272" s="683"/>
      <c r="G272" s="683"/>
      <c r="H272" s="683"/>
      <c r="I272" s="683"/>
    </row>
    <row r="273" spans="1:9">
      <c r="A273"/>
      <c r="B273" s="688"/>
      <c r="C273" s="688"/>
      <c r="D273" s="688"/>
      <c r="E273" s="688"/>
      <c r="F273" s="688"/>
      <c r="G273" s="688"/>
      <c r="H273" s="683"/>
      <c r="I273" s="683"/>
    </row>
    <row r="274" spans="1:9">
      <c r="A274" s="109" t="s">
        <v>854</v>
      </c>
      <c r="B274" s="692">
        <f>B264-B267</f>
        <v>5487.6</v>
      </c>
      <c r="C274" s="692">
        <f t="shared" ref="C274:D274" si="110">C264-C267</f>
        <v>5884.6</v>
      </c>
      <c r="D274" s="692">
        <f t="shared" si="110"/>
        <v>6649.7</v>
      </c>
      <c r="E274" s="693">
        <f>E275*E25</f>
        <v>7370.6377874868913</v>
      </c>
      <c r="F274" s="693">
        <f>F275*F25</f>
        <v>8000.63171342245</v>
      </c>
      <c r="G274" s="693">
        <f>G275*G25</f>
        <v>8834.8400115822824</v>
      </c>
      <c r="H274" s="693">
        <f>H275*H25</f>
        <v>9739.2266269825468</v>
      </c>
      <c r="I274" s="693">
        <f>I275*I25</f>
        <v>10719.193005549803</v>
      </c>
    </row>
    <row r="275" spans="1:9">
      <c r="A275" s="678" t="s">
        <v>853</v>
      </c>
      <c r="B275" s="694">
        <f>B274/B25</f>
        <v>0.36911776575994837</v>
      </c>
      <c r="C275" s="694">
        <f>C274/C25</f>
        <v>0.35777429200257788</v>
      </c>
      <c r="D275" s="694">
        <f>D274/D25</f>
        <v>0.3470126861037327</v>
      </c>
      <c r="E275" s="691">
        <v>0.34</v>
      </c>
      <c r="F275" s="691">
        <v>0.33800000000000002</v>
      </c>
      <c r="G275" s="691">
        <v>0.33600000000000002</v>
      </c>
      <c r="H275" s="691">
        <v>0.33400000000000002</v>
      </c>
      <c r="I275" s="691">
        <v>0.33200000000000002</v>
      </c>
    </row>
    <row r="276" spans="1:9">
      <c r="B276"/>
      <c r="C276"/>
      <c r="D276"/>
      <c r="E276" s="675"/>
      <c r="F276" s="675"/>
      <c r="G276" s="675"/>
    </row>
    <row r="277" spans="1:9">
      <c r="A277"/>
      <c r="B277"/>
      <c r="C277"/>
      <c r="D277"/>
      <c r="E277"/>
      <c r="F277"/>
      <c r="G277"/>
    </row>
  </sheetData>
  <phoneticPr fontId="0" type="noConversion"/>
  <pageMargins left="0.75" right="0.75" top="1" bottom="1" header="0.5" footer="0.5"/>
  <pageSetup scale="73" orientation="portrait" r:id="rId1"/>
  <headerFooter alignWithMargins="0"/>
  <colBreaks count="1" manualBreakCount="1">
    <brk id="9" max="1048575" man="1"/>
  </col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72"/>
  <sheetViews>
    <sheetView tabSelected="1" zoomScaleNormal="100" workbookViewId="0">
      <selection activeCell="E261" sqref="E261"/>
    </sheetView>
  </sheetViews>
  <sheetFormatPr defaultRowHeight="12.75"/>
  <cols>
    <col min="1" max="3" width="11.7109375" style="17" customWidth="1"/>
    <col min="4" max="4" width="13" style="17" customWidth="1"/>
    <col min="5" max="5" width="11.7109375" style="17" customWidth="1"/>
    <col min="6" max="6" width="12.85546875" style="17" customWidth="1"/>
    <col min="7" max="13" width="11.7109375" style="17" customWidth="1"/>
    <col min="14" max="16384" width="9.140625" style="17"/>
  </cols>
  <sheetData>
    <row r="1" spans="1:19">
      <c r="A1" s="1" t="str">
        <f>Data!A1</f>
        <v>Financial Statement Analysis Package (FSAP): Version 9.0</v>
      </c>
      <c r="B1" s="176"/>
      <c r="C1" s="176"/>
      <c r="D1" s="176"/>
      <c r="E1" s="176"/>
      <c r="F1" s="176"/>
      <c r="G1" s="176"/>
      <c r="H1" s="176"/>
      <c r="I1" s="176"/>
      <c r="J1" s="346"/>
      <c r="L1" s="5"/>
      <c r="M1" s="6"/>
      <c r="N1" s="6"/>
      <c r="O1" s="6"/>
      <c r="P1" s="7"/>
    </row>
    <row r="2" spans="1:19">
      <c r="A2" s="9" t="str">
        <f>Data!A2</f>
        <v>Financial Reporting, Financial Statement Analysis, and Valuation: A Strategic Perspective, 9th Edition</v>
      </c>
      <c r="B2" s="178"/>
      <c r="C2" s="178"/>
      <c r="D2" s="178"/>
      <c r="E2" s="178"/>
      <c r="F2" s="178"/>
      <c r="G2" s="178"/>
      <c r="H2" s="178"/>
      <c r="I2" s="178"/>
      <c r="J2" s="74"/>
      <c r="L2" s="9" t="s">
        <v>409</v>
      </c>
      <c r="M2" s="10"/>
      <c r="N2" s="10"/>
      <c r="O2" s="10"/>
      <c r="P2" s="11"/>
    </row>
    <row r="3" spans="1:19" ht="13.5" thickBot="1">
      <c r="A3" s="12" t="s">
        <v>410</v>
      </c>
      <c r="B3" s="124"/>
      <c r="C3" s="124"/>
      <c r="D3" s="124"/>
      <c r="E3" s="124"/>
      <c r="F3" s="124"/>
      <c r="G3" s="124"/>
      <c r="H3" s="124"/>
      <c r="I3" s="124"/>
      <c r="J3" s="125"/>
      <c r="L3" s="15"/>
      <c r="M3" s="13"/>
      <c r="N3" s="13"/>
      <c r="O3" s="13"/>
      <c r="P3" s="14"/>
    </row>
    <row r="4" spans="1:19">
      <c r="L4" s="28" t="s">
        <v>543</v>
      </c>
      <c r="M4" s="28"/>
      <c r="N4" s="28"/>
      <c r="O4" s="28"/>
      <c r="P4" s="28"/>
      <c r="Q4" s="28"/>
      <c r="R4" s="28"/>
      <c r="S4" s="28"/>
    </row>
    <row r="6" spans="1:19">
      <c r="A6" s="18" t="s">
        <v>530</v>
      </c>
      <c r="L6" s="109" t="s">
        <v>259</v>
      </c>
    </row>
    <row r="7" spans="1:19">
      <c r="A7" s="18"/>
      <c r="L7" s="179" t="s">
        <v>190</v>
      </c>
    </row>
    <row r="8" spans="1:19">
      <c r="A8" s="18" t="s">
        <v>393</v>
      </c>
      <c r="I8" s="52"/>
      <c r="L8" s="179"/>
    </row>
    <row r="9" spans="1:19">
      <c r="A9" s="347" t="s">
        <v>389</v>
      </c>
      <c r="B9" s="348"/>
      <c r="C9" s="348"/>
      <c r="D9" s="348"/>
      <c r="E9" s="349"/>
      <c r="F9" s="350">
        <f>E83</f>
        <v>66.096015172062394</v>
      </c>
      <c r="L9" s="17" t="s">
        <v>395</v>
      </c>
    </row>
    <row r="10" spans="1:19">
      <c r="A10" s="351" t="s">
        <v>390</v>
      </c>
      <c r="B10" s="352"/>
      <c r="C10" s="352"/>
      <c r="D10" s="352"/>
      <c r="E10" s="353"/>
      <c r="F10" s="354">
        <f>E113</f>
        <v>66.096015172062394</v>
      </c>
      <c r="L10" s="17" t="s">
        <v>395</v>
      </c>
    </row>
    <row r="11" spans="1:19">
      <c r="A11" s="351" t="s">
        <v>391</v>
      </c>
      <c r="B11" s="352"/>
      <c r="C11" s="352"/>
      <c r="D11" s="352"/>
      <c r="E11" s="353"/>
      <c r="F11" s="354">
        <f>E170</f>
        <v>66.096015172062494</v>
      </c>
      <c r="L11" s="17" t="s">
        <v>395</v>
      </c>
    </row>
    <row r="12" spans="1:19">
      <c r="A12" s="351" t="s">
        <v>392</v>
      </c>
      <c r="B12" s="352"/>
      <c r="C12" s="352"/>
      <c r="D12" s="352"/>
      <c r="E12" s="353"/>
      <c r="F12" s="354">
        <f>E231</f>
        <v>66.096015172062508</v>
      </c>
      <c r="L12" s="17" t="s">
        <v>395</v>
      </c>
    </row>
    <row r="13" spans="1:19">
      <c r="A13" s="355" t="s">
        <v>394</v>
      </c>
      <c r="B13" s="356"/>
      <c r="C13" s="356"/>
      <c r="D13" s="356"/>
      <c r="E13" s="357"/>
      <c r="F13" s="358">
        <f>E267</f>
        <v>65.953759329828046</v>
      </c>
      <c r="L13" s="17" t="s">
        <v>395</v>
      </c>
    </row>
    <row r="14" spans="1:19">
      <c r="A14" s="359" t="s">
        <v>653</v>
      </c>
      <c r="B14" s="62"/>
      <c r="C14" s="62"/>
      <c r="D14" s="62"/>
      <c r="E14" s="360"/>
      <c r="L14" s="179"/>
    </row>
    <row r="15" spans="1:19">
      <c r="A15" s="501" t="s">
        <v>654</v>
      </c>
      <c r="L15" s="179"/>
    </row>
    <row r="16" spans="1:19">
      <c r="L16" s="179"/>
    </row>
    <row r="17" spans="1:14" ht="13.5" thickBot="1"/>
    <row r="18" spans="1:14" ht="13.5" thickTop="1">
      <c r="A18" s="361" t="s">
        <v>469</v>
      </c>
      <c r="B18" s="362"/>
      <c r="C18" s="363" t="s">
        <v>181</v>
      </c>
      <c r="D18" s="364"/>
      <c r="E18" s="364"/>
      <c r="F18" s="364"/>
      <c r="G18" s="364"/>
      <c r="H18" s="364" t="s">
        <v>41</v>
      </c>
      <c r="I18" s="364"/>
      <c r="J18" s="365"/>
    </row>
    <row r="19" spans="1:14">
      <c r="A19" s="366" t="str">
        <f>Data!$A$9</f>
        <v>Analyst Name:</v>
      </c>
      <c r="B19" s="367"/>
      <c r="C19" s="187" t="str">
        <f>Data!$B$9</f>
        <v>Wahlen, Baginski &amp; Bradshaw</v>
      </c>
      <c r="D19" s="189"/>
      <c r="E19" s="184"/>
      <c r="F19" s="190"/>
      <c r="G19" s="190"/>
      <c r="H19" s="190"/>
      <c r="I19" s="190"/>
      <c r="J19" s="368"/>
      <c r="N19" s="762"/>
    </row>
    <row r="20" spans="1:14">
      <c r="A20" s="366" t="str">
        <f>Data!$A$10</f>
        <v>Company Name:</v>
      </c>
      <c r="B20" s="369"/>
      <c r="C20" s="187" t="str">
        <f>Data!$B$10</f>
        <v>Starbucks</v>
      </c>
      <c r="D20" s="184"/>
      <c r="E20" s="233"/>
      <c r="F20" s="190"/>
      <c r="G20" s="190"/>
      <c r="H20" s="190"/>
      <c r="I20" s="190"/>
      <c r="J20" s="368"/>
    </row>
    <row r="21" spans="1:14" ht="13.5" thickBot="1">
      <c r="A21" s="370"/>
      <c r="B21" s="70"/>
      <c r="C21" s="70"/>
      <c r="D21" s="70"/>
      <c r="E21" s="70"/>
      <c r="F21" s="70"/>
      <c r="G21" s="70"/>
      <c r="H21" s="70"/>
      <c r="I21" s="70"/>
      <c r="J21" s="371"/>
    </row>
    <row r="22" spans="1:14" ht="13.5" thickTop="1">
      <c r="A22" s="372" t="s">
        <v>42</v>
      </c>
      <c r="B22" s="312"/>
      <c r="C22" s="312"/>
      <c r="D22" s="373"/>
      <c r="E22" s="374"/>
      <c r="F22" s="374"/>
      <c r="G22" s="374"/>
      <c r="H22" s="374"/>
      <c r="I22" s="374"/>
      <c r="J22" s="375"/>
    </row>
    <row r="23" spans="1:14">
      <c r="A23" s="370"/>
      <c r="B23" s="70"/>
      <c r="C23" s="70"/>
      <c r="D23" s="70"/>
      <c r="E23" s="70"/>
      <c r="F23" s="70"/>
      <c r="G23" s="70"/>
      <c r="H23" s="70"/>
      <c r="I23" s="70"/>
      <c r="J23" s="376"/>
      <c r="L23" s="109" t="s">
        <v>183</v>
      </c>
    </row>
    <row r="24" spans="1:14">
      <c r="A24" s="370" t="s">
        <v>49</v>
      </c>
      <c r="B24" s="70"/>
      <c r="C24" s="70"/>
      <c r="D24" s="70"/>
      <c r="F24" s="377">
        <f>Data!G150</f>
        <v>56.84</v>
      </c>
      <c r="G24" s="70"/>
      <c r="H24" s="70"/>
      <c r="I24" s="70"/>
      <c r="J24" s="376"/>
      <c r="L24" s="17" t="s">
        <v>541</v>
      </c>
    </row>
    <row r="25" spans="1:14">
      <c r="A25" s="370" t="s">
        <v>252</v>
      </c>
      <c r="B25" s="70"/>
      <c r="C25" s="70"/>
      <c r="D25" s="70"/>
      <c r="E25" s="70"/>
      <c r="F25" s="502">
        <f>Data!$G$147</f>
        <v>1485.1</v>
      </c>
      <c r="G25" s="70"/>
      <c r="H25" s="70"/>
      <c r="I25" s="70"/>
      <c r="J25" s="376"/>
      <c r="L25" s="17" t="s">
        <v>542</v>
      </c>
    </row>
    <row r="26" spans="1:14">
      <c r="A26" s="370" t="s">
        <v>253</v>
      </c>
      <c r="B26" s="70"/>
      <c r="C26" s="70"/>
      <c r="D26" s="70"/>
      <c r="E26" s="70"/>
      <c r="F26" s="378">
        <f>F24*F25</f>
        <v>84413.084000000003</v>
      </c>
      <c r="G26" s="70"/>
      <c r="H26" s="70"/>
      <c r="I26" s="70"/>
      <c r="J26" s="376"/>
      <c r="L26" s="17" t="s">
        <v>534</v>
      </c>
    </row>
    <row r="27" spans="1:14">
      <c r="A27" s="370"/>
      <c r="B27" s="70"/>
      <c r="C27" s="70"/>
      <c r="D27" s="70"/>
      <c r="E27" s="70"/>
      <c r="F27" s="379"/>
      <c r="G27" s="70"/>
      <c r="H27" s="70"/>
      <c r="I27" s="70"/>
      <c r="J27" s="376"/>
    </row>
    <row r="28" spans="1:14">
      <c r="A28" s="370" t="s">
        <v>246</v>
      </c>
      <c r="B28" s="70"/>
      <c r="C28" s="70"/>
      <c r="D28" s="70"/>
      <c r="E28" s="70"/>
      <c r="F28" s="380">
        <f>Forecasts!$J$15</f>
        <v>0.03</v>
      </c>
      <c r="G28" s="70"/>
      <c r="H28" s="70"/>
      <c r="I28" s="70"/>
      <c r="J28" s="376"/>
      <c r="L28" s="109" t="s">
        <v>184</v>
      </c>
    </row>
    <row r="29" spans="1:14">
      <c r="A29" s="370" t="s">
        <v>247</v>
      </c>
      <c r="B29" s="70"/>
      <c r="C29" s="70"/>
      <c r="D29" s="70"/>
      <c r="E29" s="70"/>
      <c r="F29" s="381">
        <v>0.03</v>
      </c>
      <c r="G29" s="70"/>
      <c r="H29" s="70"/>
      <c r="I29" s="70"/>
      <c r="J29" s="376"/>
      <c r="L29" s="17" t="s">
        <v>189</v>
      </c>
    </row>
    <row r="30" spans="1:14">
      <c r="A30" s="370" t="s">
        <v>248</v>
      </c>
      <c r="B30" s="70"/>
      <c r="C30" s="70"/>
      <c r="D30" s="70"/>
      <c r="E30" s="70"/>
      <c r="F30" s="70"/>
      <c r="G30" s="70"/>
      <c r="H30" s="70"/>
      <c r="I30" s="607"/>
      <c r="J30" s="376"/>
    </row>
    <row r="31" spans="1:14">
      <c r="A31" s="382"/>
      <c r="B31" s="70"/>
      <c r="C31" s="70"/>
      <c r="D31" s="70"/>
      <c r="E31" s="70"/>
      <c r="F31" s="70"/>
      <c r="G31" s="70"/>
      <c r="H31" s="70"/>
      <c r="I31" s="70"/>
      <c r="J31" s="376"/>
    </row>
    <row r="32" spans="1:14">
      <c r="A32" s="370" t="s">
        <v>43</v>
      </c>
      <c r="B32" s="70"/>
      <c r="C32" s="70"/>
      <c r="D32" s="70"/>
      <c r="E32" s="70"/>
      <c r="F32" s="70"/>
      <c r="G32" s="70"/>
      <c r="H32" s="70"/>
      <c r="I32" s="70"/>
      <c r="J32" s="376"/>
      <c r="L32" s="109" t="s">
        <v>185</v>
      </c>
    </row>
    <row r="33" spans="1:12">
      <c r="A33" s="370" t="s">
        <v>256</v>
      </c>
      <c r="B33" s="70"/>
      <c r="C33" s="70"/>
      <c r="D33" s="70"/>
      <c r="E33" s="70"/>
      <c r="F33" s="383">
        <v>0.75</v>
      </c>
      <c r="G33" s="70"/>
      <c r="H33" s="70"/>
      <c r="I33" s="70"/>
      <c r="J33" s="376"/>
      <c r="L33" s="17" t="s">
        <v>535</v>
      </c>
    </row>
    <row r="34" spans="1:12">
      <c r="A34" s="370" t="s">
        <v>257</v>
      </c>
      <c r="B34" s="70"/>
      <c r="C34" s="70"/>
      <c r="D34" s="70"/>
      <c r="E34" s="70"/>
      <c r="F34" s="763">
        <v>2.7E-2</v>
      </c>
      <c r="G34" s="70"/>
      <c r="H34" s="70"/>
      <c r="I34" s="70"/>
      <c r="J34" s="376"/>
      <c r="L34" s="17" t="s">
        <v>191</v>
      </c>
    </row>
    <row r="35" spans="1:12">
      <c r="A35" s="370" t="s">
        <v>45</v>
      </c>
      <c r="B35" s="70"/>
      <c r="C35" s="70"/>
      <c r="D35" s="70"/>
      <c r="E35" s="70"/>
      <c r="F35" s="200">
        <v>0.06</v>
      </c>
      <c r="G35" s="70"/>
      <c r="H35" s="70"/>
      <c r="I35" s="70"/>
      <c r="J35" s="376"/>
      <c r="L35" s="17" t="s">
        <v>536</v>
      </c>
    </row>
    <row r="36" spans="1:12">
      <c r="A36" s="370" t="s">
        <v>47</v>
      </c>
      <c r="B36" s="70"/>
      <c r="C36" s="70"/>
      <c r="D36" s="70"/>
      <c r="E36" s="70"/>
      <c r="F36" s="384">
        <f>F34+F33*F35</f>
        <v>7.1999999999999995E-2</v>
      </c>
      <c r="G36" s="70"/>
      <c r="H36" s="70"/>
      <c r="I36" s="70"/>
      <c r="J36" s="376"/>
      <c r="L36" s="17" t="s">
        <v>537</v>
      </c>
    </row>
    <row r="37" spans="1:12">
      <c r="A37" s="370"/>
      <c r="B37" s="70"/>
      <c r="C37" s="70"/>
      <c r="D37" s="70"/>
      <c r="E37" s="70"/>
      <c r="F37" s="70"/>
      <c r="G37" s="70"/>
      <c r="H37" s="70"/>
      <c r="I37" s="70"/>
      <c r="J37" s="376"/>
    </row>
    <row r="38" spans="1:12">
      <c r="A38" s="370" t="s">
        <v>250</v>
      </c>
      <c r="B38" s="70"/>
      <c r="C38" s="70"/>
      <c r="D38" s="70"/>
      <c r="E38" s="70"/>
      <c r="F38" s="70"/>
      <c r="G38" s="70"/>
      <c r="H38" s="70"/>
      <c r="I38" s="70"/>
      <c r="J38" s="376"/>
      <c r="L38" s="109" t="s">
        <v>186</v>
      </c>
    </row>
    <row r="39" spans="1:12">
      <c r="A39" s="370" t="s">
        <v>44</v>
      </c>
      <c r="B39" s="70"/>
      <c r="C39" s="70"/>
      <c r="D39" s="70"/>
      <c r="E39" s="70"/>
      <c r="F39" s="503">
        <v>2402</v>
      </c>
      <c r="G39" s="70"/>
      <c r="H39" s="70"/>
      <c r="I39" s="70"/>
      <c r="J39" s="376"/>
      <c r="L39" s="17" t="s">
        <v>538</v>
      </c>
    </row>
    <row r="40" spans="1:12">
      <c r="A40" s="370" t="s">
        <v>251</v>
      </c>
      <c r="B40" s="70"/>
      <c r="C40" s="70"/>
      <c r="D40" s="70"/>
      <c r="E40" s="70"/>
      <c r="F40" s="504">
        <f>-Forecasts!E63</f>
        <v>2.7067164179104476E-2</v>
      </c>
      <c r="G40" s="70"/>
      <c r="H40" s="70"/>
      <c r="I40" s="70"/>
      <c r="J40" s="376"/>
      <c r="L40" s="179" t="s">
        <v>539</v>
      </c>
    </row>
    <row r="41" spans="1:12">
      <c r="A41" s="370" t="s">
        <v>46</v>
      </c>
      <c r="B41" s="70"/>
      <c r="C41" s="70"/>
      <c r="D41" s="70"/>
      <c r="E41" s="70"/>
      <c r="F41" s="504">
        <f>Forecasts!E76</f>
        <v>-0.34</v>
      </c>
      <c r="G41" s="70"/>
      <c r="H41" s="70"/>
      <c r="I41" s="70"/>
      <c r="J41" s="376"/>
      <c r="L41" s="17" t="s">
        <v>540</v>
      </c>
    </row>
    <row r="42" spans="1:12">
      <c r="A42" s="370" t="s">
        <v>182</v>
      </c>
      <c r="B42" s="70"/>
      <c r="C42" s="70"/>
      <c r="D42" s="70"/>
      <c r="E42" s="70"/>
      <c r="F42" s="386">
        <f>F40*(1+F41)</f>
        <v>1.7864328358208951E-2</v>
      </c>
      <c r="G42" s="70"/>
      <c r="H42" s="70"/>
      <c r="I42" s="70"/>
      <c r="J42" s="376"/>
      <c r="L42" s="17" t="s">
        <v>192</v>
      </c>
    </row>
    <row r="43" spans="1:12">
      <c r="A43" s="370"/>
      <c r="B43" s="70"/>
      <c r="C43" s="70"/>
      <c r="D43" s="70"/>
      <c r="E43" s="70"/>
      <c r="F43" s="70"/>
      <c r="G43" s="70"/>
      <c r="H43" s="70"/>
      <c r="I43" s="70"/>
      <c r="J43" s="376"/>
    </row>
    <row r="44" spans="1:12">
      <c r="A44" s="370" t="s">
        <v>48</v>
      </c>
      <c r="B44" s="70"/>
      <c r="C44" s="70"/>
      <c r="D44" s="70"/>
      <c r="E44" s="70"/>
      <c r="F44" s="70"/>
      <c r="G44" s="70"/>
      <c r="H44" s="70"/>
      <c r="I44" s="70"/>
      <c r="J44" s="376"/>
      <c r="L44" s="109" t="s">
        <v>187</v>
      </c>
    </row>
    <row r="45" spans="1:12">
      <c r="A45" s="370" t="s">
        <v>254</v>
      </c>
      <c r="B45" s="70"/>
      <c r="C45" s="70"/>
      <c r="D45" s="70"/>
      <c r="E45" s="70"/>
      <c r="F45" s="385">
        <v>0</v>
      </c>
      <c r="G45" s="70"/>
      <c r="H45" s="70"/>
      <c r="I45" s="70"/>
      <c r="J45" s="376"/>
      <c r="L45" s="539" t="s">
        <v>794</v>
      </c>
    </row>
    <row r="46" spans="1:12">
      <c r="A46" s="370" t="s">
        <v>255</v>
      </c>
      <c r="B46" s="70"/>
      <c r="C46" s="70"/>
      <c r="D46" s="70"/>
      <c r="E46" s="70"/>
      <c r="F46" s="385">
        <v>0</v>
      </c>
      <c r="G46" s="70"/>
      <c r="H46" s="70"/>
      <c r="I46" s="70"/>
      <c r="J46" s="376"/>
      <c r="L46" s="17" t="s">
        <v>548</v>
      </c>
    </row>
    <row r="47" spans="1:12">
      <c r="A47" s="370" t="s">
        <v>258</v>
      </c>
      <c r="B47" s="70"/>
      <c r="C47" s="70"/>
      <c r="D47" s="70"/>
      <c r="E47" s="70"/>
      <c r="F47" s="384">
        <v>0</v>
      </c>
      <c r="G47" s="70"/>
      <c r="H47" s="70"/>
      <c r="I47" s="70"/>
      <c r="J47" s="376"/>
      <c r="L47" s="17" t="s">
        <v>533</v>
      </c>
    </row>
    <row r="48" spans="1:12">
      <c r="A48" s="370"/>
      <c r="B48" s="70"/>
      <c r="C48" s="70"/>
      <c r="D48" s="70"/>
      <c r="E48" s="70"/>
      <c r="F48" s="70"/>
      <c r="G48" s="70"/>
      <c r="H48" s="70"/>
      <c r="I48" s="70"/>
      <c r="J48" s="376"/>
    </row>
    <row r="49" spans="1:12">
      <c r="A49" s="370" t="s">
        <v>782</v>
      </c>
      <c r="B49" s="70"/>
      <c r="C49" s="70"/>
      <c r="D49" s="70"/>
      <c r="E49" s="70"/>
      <c r="F49" s="70"/>
      <c r="G49" s="70"/>
      <c r="H49" s="70"/>
      <c r="I49" s="70"/>
      <c r="J49" s="376"/>
      <c r="L49" s="109" t="s">
        <v>785</v>
      </c>
    </row>
    <row r="50" spans="1:12">
      <c r="A50" s="370" t="s">
        <v>783</v>
      </c>
      <c r="B50" s="70"/>
      <c r="C50" s="70"/>
      <c r="D50" s="70"/>
      <c r="E50" s="70"/>
      <c r="F50" s="611">
        <v>0</v>
      </c>
      <c r="G50" s="70"/>
      <c r="H50" s="70"/>
      <c r="I50" s="70"/>
      <c r="J50" s="376"/>
      <c r="L50" s="539" t="s">
        <v>786</v>
      </c>
    </row>
    <row r="51" spans="1:12">
      <c r="A51" s="370" t="s">
        <v>784</v>
      </c>
      <c r="B51" s="70"/>
      <c r="C51" s="70"/>
      <c r="D51" s="70"/>
      <c r="E51" s="70"/>
      <c r="F51" s="611">
        <v>0</v>
      </c>
      <c r="G51" s="70"/>
      <c r="H51" s="70"/>
      <c r="I51" s="70"/>
      <c r="J51" s="376"/>
      <c r="L51" s="539" t="s">
        <v>787</v>
      </c>
    </row>
    <row r="52" spans="1:12">
      <c r="A52" s="370" t="s">
        <v>258</v>
      </c>
      <c r="B52" s="70"/>
      <c r="C52" s="70"/>
      <c r="D52" s="70"/>
      <c r="E52" s="70"/>
      <c r="F52" s="610">
        <v>0</v>
      </c>
      <c r="G52" s="70"/>
      <c r="H52" s="70"/>
      <c r="I52" s="70"/>
      <c r="J52" s="376"/>
      <c r="L52" s="539" t="s">
        <v>788</v>
      </c>
    </row>
    <row r="53" spans="1:12">
      <c r="A53" s="370"/>
      <c r="B53" s="70"/>
      <c r="C53" s="70"/>
      <c r="D53" s="70"/>
      <c r="E53" s="70"/>
      <c r="F53" s="70"/>
      <c r="G53" s="70"/>
      <c r="H53" s="70"/>
      <c r="I53" s="70"/>
      <c r="J53" s="376"/>
    </row>
    <row r="54" spans="1:12">
      <c r="A54" s="370" t="s">
        <v>50</v>
      </c>
      <c r="B54" s="70"/>
      <c r="C54" s="70"/>
      <c r="D54" s="70"/>
      <c r="E54" s="70"/>
      <c r="F54" s="387"/>
      <c r="G54" s="70"/>
      <c r="H54" s="70"/>
      <c r="I54" s="70"/>
      <c r="J54" s="376"/>
      <c r="L54" s="109" t="s">
        <v>188</v>
      </c>
    </row>
    <row r="55" spans="1:12">
      <c r="A55" s="370" t="s">
        <v>51</v>
      </c>
      <c r="B55" s="70"/>
      <c r="C55" s="70"/>
      <c r="D55" s="70"/>
      <c r="E55" s="70"/>
      <c r="F55" s="772">
        <f>$F$26/($F$26+$F$39+$F$45+$F$50)</f>
        <v>0.97233199705249374</v>
      </c>
      <c r="G55" s="70"/>
      <c r="H55" s="70"/>
      <c r="I55" s="70"/>
      <c r="J55" s="376"/>
      <c r="L55" s="539" t="s">
        <v>790</v>
      </c>
    </row>
    <row r="56" spans="1:12">
      <c r="A56" s="370" t="s">
        <v>52</v>
      </c>
      <c r="B56" s="70"/>
      <c r="C56" s="70"/>
      <c r="D56" s="70"/>
      <c r="E56" s="70"/>
      <c r="F56" s="772">
        <f>$F$39/($F$26+$F$39+$F$45+$F$50)</f>
        <v>2.766800294750622E-2</v>
      </c>
      <c r="G56" s="70"/>
      <c r="H56" s="70"/>
      <c r="I56" s="70"/>
      <c r="J56" s="376"/>
      <c r="L56" s="539" t="s">
        <v>791</v>
      </c>
    </row>
    <row r="57" spans="1:12">
      <c r="A57" s="370" t="s">
        <v>53</v>
      </c>
      <c r="B57" s="70"/>
      <c r="C57" s="70"/>
      <c r="D57" s="70"/>
      <c r="E57" s="70"/>
      <c r="F57" s="388">
        <f>$F$45/($F$26+$F$39+$F$45+$F$50)</f>
        <v>0</v>
      </c>
      <c r="G57" s="70"/>
      <c r="H57" s="70"/>
      <c r="I57" s="70"/>
      <c r="J57" s="376"/>
      <c r="L57" s="539" t="s">
        <v>792</v>
      </c>
    </row>
    <row r="58" spans="1:12">
      <c r="A58" s="370" t="s">
        <v>789</v>
      </c>
      <c r="B58" s="70"/>
      <c r="C58" s="70"/>
      <c r="D58" s="70"/>
      <c r="E58" s="70"/>
      <c r="F58" s="388">
        <f>$F$50/($F$26+$F$39+$F$45+$F$50)</f>
        <v>0</v>
      </c>
      <c r="G58" s="70"/>
      <c r="H58" s="70"/>
      <c r="I58" s="70"/>
      <c r="J58" s="376"/>
      <c r="L58" s="539" t="s">
        <v>793</v>
      </c>
    </row>
    <row r="59" spans="1:12">
      <c r="A59" s="370" t="s">
        <v>54</v>
      </c>
      <c r="B59" s="70"/>
      <c r="C59" s="70"/>
      <c r="D59" s="70"/>
      <c r="E59" s="70"/>
      <c r="F59" s="384">
        <f>($F$55*$F$36)+($F$56*F42)+($F$57*$F$47)+($F$58*$F$52)</f>
        <v>7.0502174077449686E-2</v>
      </c>
      <c r="G59" s="70"/>
      <c r="H59" s="70"/>
      <c r="I59" s="70"/>
      <c r="J59" s="376"/>
      <c r="L59" s="539" t="s">
        <v>544</v>
      </c>
    </row>
    <row r="60" spans="1:12" ht="13.5" thickBot="1">
      <c r="A60" s="389"/>
      <c r="B60" s="390"/>
      <c r="C60" s="390"/>
      <c r="D60" s="390"/>
      <c r="E60" s="390"/>
      <c r="F60" s="390"/>
      <c r="G60" s="390"/>
      <c r="H60" s="390"/>
      <c r="I60" s="390"/>
      <c r="J60" s="391"/>
    </row>
    <row r="61" spans="1:12" ht="13.5" thickTop="1">
      <c r="A61" s="70"/>
      <c r="B61" s="70"/>
      <c r="C61" s="70"/>
      <c r="D61" s="70"/>
      <c r="E61" s="70"/>
      <c r="F61" s="70"/>
      <c r="G61" s="70"/>
      <c r="H61" s="70"/>
      <c r="I61" s="70"/>
      <c r="J61" s="70"/>
    </row>
    <row r="62" spans="1:12" ht="13.5" thickBot="1">
      <c r="A62" s="70"/>
      <c r="B62" s="70"/>
      <c r="C62" s="70"/>
      <c r="D62" s="70"/>
      <c r="E62" s="70"/>
      <c r="F62" s="70"/>
      <c r="G62" s="70"/>
      <c r="H62" s="70"/>
      <c r="I62" s="70"/>
      <c r="J62" s="70"/>
    </row>
    <row r="63" spans="1:12" ht="13.5" thickTop="1">
      <c r="A63" s="392" t="s">
        <v>469</v>
      </c>
      <c r="B63" s="393"/>
      <c r="C63" s="394" t="str">
        <f>C18</f>
        <v>VALUATION MODELS</v>
      </c>
      <c r="D63" s="394"/>
      <c r="E63" s="395"/>
      <c r="F63" s="395"/>
      <c r="G63" s="395"/>
      <c r="H63" s="395"/>
      <c r="I63" s="395"/>
      <c r="J63" s="396"/>
    </row>
    <row r="64" spans="1:12">
      <c r="A64" s="366" t="str">
        <f>Data!$A$9</f>
        <v>Analyst Name:</v>
      </c>
      <c r="B64" s="367"/>
      <c r="C64" s="187" t="str">
        <f>Data!$B$9</f>
        <v>Wahlen, Baginski &amp; Bradshaw</v>
      </c>
      <c r="D64" s="189"/>
      <c r="E64" s="184"/>
      <c r="F64" s="190"/>
      <c r="G64" s="190"/>
      <c r="H64" s="190"/>
      <c r="I64" s="190"/>
      <c r="J64" s="368"/>
    </row>
    <row r="65" spans="1:12">
      <c r="A65" s="366" t="str">
        <f>Data!$A$10</f>
        <v>Company Name:</v>
      </c>
      <c r="B65" s="369"/>
      <c r="C65" s="187" t="str">
        <f>Data!$B$10</f>
        <v>Starbucks</v>
      </c>
      <c r="D65" s="184"/>
      <c r="E65" s="233"/>
      <c r="F65" s="190"/>
      <c r="G65" s="190"/>
      <c r="H65" s="190"/>
      <c r="I65" s="190"/>
      <c r="J65" s="368"/>
    </row>
    <row r="66" spans="1:12">
      <c r="A66" s="397"/>
      <c r="B66" s="70"/>
      <c r="C66" s="398"/>
      <c r="D66" s="70"/>
      <c r="E66" s="70"/>
      <c r="F66" s="70"/>
      <c r="G66" s="70"/>
      <c r="H66" s="70"/>
      <c r="I66" s="70"/>
      <c r="J66" s="399" t="s">
        <v>55</v>
      </c>
    </row>
    <row r="67" spans="1:12">
      <c r="A67" s="397"/>
      <c r="B67" s="70"/>
      <c r="C67" s="398"/>
      <c r="D67" s="70"/>
      <c r="E67" s="400">
        <v>1</v>
      </c>
      <c r="F67" s="400">
        <v>2</v>
      </c>
      <c r="G67" s="400">
        <v>3</v>
      </c>
      <c r="H67" s="400">
        <v>4</v>
      </c>
      <c r="I67" s="400">
        <v>5</v>
      </c>
      <c r="J67" s="401" t="s">
        <v>56</v>
      </c>
      <c r="L67" s="109" t="s">
        <v>206</v>
      </c>
    </row>
    <row r="68" spans="1:12">
      <c r="A68" s="402" t="s">
        <v>195</v>
      </c>
      <c r="B68" s="403"/>
      <c r="C68" s="403"/>
      <c r="D68" s="403"/>
      <c r="E68" s="404" t="s">
        <v>479</v>
      </c>
      <c r="F68" s="404" t="s">
        <v>480</v>
      </c>
      <c r="G68" s="404" t="s">
        <v>481</v>
      </c>
      <c r="H68" s="404" t="s">
        <v>482</v>
      </c>
      <c r="I68" s="404" t="s">
        <v>483</v>
      </c>
      <c r="J68" s="405" t="s">
        <v>484</v>
      </c>
      <c r="L68" s="406" t="s">
        <v>217</v>
      </c>
    </row>
    <row r="69" spans="1:12">
      <c r="A69" s="407"/>
      <c r="B69" s="70"/>
      <c r="C69" s="70"/>
      <c r="D69" s="70"/>
      <c r="E69" s="151"/>
      <c r="F69" s="151"/>
      <c r="G69" s="151"/>
      <c r="H69" s="151"/>
      <c r="I69" s="151"/>
      <c r="J69" s="399"/>
    </row>
    <row r="70" spans="1:12">
      <c r="A70" s="408" t="s">
        <v>93</v>
      </c>
      <c r="B70" s="70"/>
      <c r="C70" s="70"/>
      <c r="D70" s="70"/>
      <c r="E70" s="409">
        <f>-Forecasts!E258-Forecasts!E255</f>
        <v>1187.5788136386891</v>
      </c>
      <c r="F70" s="409">
        <f>-Forecasts!F258-Forecasts!F255</f>
        <v>1309.2436529524782</v>
      </c>
      <c r="G70" s="409">
        <f>-Forecasts!G258-Forecasts!G255</f>
        <v>1483.2372684669513</v>
      </c>
      <c r="H70" s="409">
        <f>-Forecasts!H258-Forecasts!H255</f>
        <v>1674.3994692597621</v>
      </c>
      <c r="I70" s="409">
        <f>-Forecasts!I258-Forecasts!I255</f>
        <v>2080.3673251558112</v>
      </c>
      <c r="J70" s="410"/>
      <c r="L70" s="17" t="s">
        <v>545</v>
      </c>
    </row>
    <row r="71" spans="1:12">
      <c r="A71" s="370" t="s">
        <v>94</v>
      </c>
      <c r="B71" s="70"/>
      <c r="C71" s="70"/>
      <c r="D71" s="70"/>
      <c r="E71" s="409">
        <f>Forecasts!D222-Forecasts!E222</f>
        <v>-1.3104867009893297</v>
      </c>
      <c r="F71" s="409">
        <f>Forecasts!E222-Forecasts!F222</f>
        <v>-2.4337548019113129</v>
      </c>
      <c r="G71" s="409">
        <f>Forecasts!F222-Forecasts!G222</f>
        <v>-3.2699926650210358</v>
      </c>
      <c r="H71" s="409">
        <f>Forecasts!G222-Forecasts!H222</f>
        <v>-3.7719981810755101</v>
      </c>
      <c r="I71" s="409">
        <f>Forecasts!H222-Forecasts!I222</f>
        <v>-6.689873324126637</v>
      </c>
      <c r="J71" s="410"/>
      <c r="L71" s="17" t="s">
        <v>546</v>
      </c>
    </row>
    <row r="72" spans="1:12">
      <c r="A72" s="407" t="s">
        <v>95</v>
      </c>
      <c r="B72" s="70"/>
      <c r="C72" s="70"/>
      <c r="D72" s="70"/>
      <c r="E72" s="409">
        <f>-Forecasts!E268</f>
        <v>2653.6743265341483</v>
      </c>
      <c r="F72" s="409">
        <f>-Forecasts!F268</f>
        <v>1483.5488291271868</v>
      </c>
      <c r="G72" s="409">
        <f>-Forecasts!G268</f>
        <v>1598.2211436805028</v>
      </c>
      <c r="H72" s="409">
        <f>-Forecasts!H268</f>
        <v>1757.6045286026601</v>
      </c>
      <c r="I72" s="409">
        <f>-Forecasts!I268</f>
        <v>1509.902098842027</v>
      </c>
      <c r="J72" s="410"/>
      <c r="L72" s="17" t="s">
        <v>547</v>
      </c>
    </row>
    <row r="73" spans="1:12">
      <c r="A73" s="402" t="s">
        <v>245</v>
      </c>
      <c r="B73" s="411"/>
      <c r="C73" s="411"/>
      <c r="D73" s="411"/>
      <c r="E73" s="412">
        <f>SUM(E70:E72)</f>
        <v>3839.9426534718482</v>
      </c>
      <c r="F73" s="412">
        <f>SUM(F70:F72)</f>
        <v>2790.3587272777536</v>
      </c>
      <c r="G73" s="412">
        <f>SUM(G70:G72)</f>
        <v>3078.1884194824333</v>
      </c>
      <c r="H73" s="412">
        <f>SUM(H70:H72)</f>
        <v>3428.2319996813467</v>
      </c>
      <c r="I73" s="412">
        <f>SUM(I70:I72)</f>
        <v>3583.5795506737118</v>
      </c>
      <c r="J73" s="608">
        <f>(Forecasts!J97-Forecasts!J255)-(Forecasts!J222+Forecasts!J225+Forecasts!J228+Forecasts!J231-Forecasts!I222-Forecasts!I225-Forecasts!I228-Forecasts!I231)</f>
        <v>4822.9126852853014</v>
      </c>
      <c r="L73" s="17" t="s">
        <v>555</v>
      </c>
    </row>
    <row r="74" spans="1:12">
      <c r="A74" s="370"/>
      <c r="B74" s="70"/>
      <c r="C74" s="70"/>
      <c r="D74" s="70"/>
      <c r="E74" s="151"/>
      <c r="F74" s="151"/>
      <c r="G74" s="151"/>
      <c r="H74" s="151"/>
      <c r="I74" s="151"/>
      <c r="J74" s="399"/>
    </row>
    <row r="75" spans="1:12">
      <c r="A75" s="407" t="s">
        <v>62</v>
      </c>
      <c r="B75" s="213"/>
      <c r="C75" s="213"/>
      <c r="D75" s="213"/>
      <c r="E75" s="413">
        <f>1/(1+$F$36)^E67</f>
        <v>0.93283582089552231</v>
      </c>
      <c r="F75" s="413">
        <f>1/(1+$F$36)^F67</f>
        <v>0.87018266874582295</v>
      </c>
      <c r="G75" s="413">
        <f>1/(1+$F$36)^G67</f>
        <v>0.81173756412856624</v>
      </c>
      <c r="H75" s="413">
        <f>1/(1+$F$36)^H67</f>
        <v>0.75721787698560261</v>
      </c>
      <c r="I75" s="413">
        <f>1/(1+$F$36)^I67</f>
        <v>0.7063599598746293</v>
      </c>
      <c r="J75" s="414"/>
      <c r="L75" s="17" t="s">
        <v>549</v>
      </c>
    </row>
    <row r="76" spans="1:12">
      <c r="A76" s="407" t="s">
        <v>655</v>
      </c>
      <c r="B76" s="213"/>
      <c r="C76" s="213"/>
      <c r="D76" s="213"/>
      <c r="E76" s="409">
        <f>E73*E75</f>
        <v>3582.0360573431417</v>
      </c>
      <c r="F76" s="409">
        <f>F73*F75</f>
        <v>2428.1218040607537</v>
      </c>
      <c r="G76" s="409">
        <f>G73*G75</f>
        <v>2498.6811695594315</v>
      </c>
      <c r="H76" s="409">
        <f>H73*H75</f>
        <v>2595.9185566128162</v>
      </c>
      <c r="I76" s="409">
        <f>I73*I75</f>
        <v>2531.2971076214253</v>
      </c>
      <c r="J76" s="410"/>
    </row>
    <row r="77" spans="1:12">
      <c r="A77" s="407" t="s">
        <v>656</v>
      </c>
      <c r="B77" s="213"/>
      <c r="C77" s="213"/>
      <c r="D77" s="213"/>
      <c r="E77" s="409">
        <f>SUM(E76:I76)</f>
        <v>13636.054695197568</v>
      </c>
      <c r="F77" s="409"/>
      <c r="G77" s="409"/>
      <c r="H77" s="409"/>
      <c r="I77" s="409"/>
      <c r="J77" s="415"/>
      <c r="L77" s="17" t="s">
        <v>202</v>
      </c>
    </row>
    <row r="78" spans="1:12">
      <c r="A78" s="370" t="s">
        <v>657</v>
      </c>
      <c r="B78" s="70"/>
      <c r="C78" s="70"/>
      <c r="D78" s="70"/>
      <c r="E78" s="416">
        <f>J73/($F$36-$F$29)*$I$75</f>
        <v>81112.200258499201</v>
      </c>
      <c r="F78" s="494"/>
      <c r="G78" s="416"/>
      <c r="H78" s="416"/>
      <c r="I78" s="416"/>
      <c r="J78" s="417"/>
      <c r="L78" s="17" t="s">
        <v>203</v>
      </c>
    </row>
    <row r="79" spans="1:12">
      <c r="A79" s="370" t="s">
        <v>71</v>
      </c>
      <c r="B79" s="70"/>
      <c r="C79" s="70"/>
      <c r="D79" s="70"/>
      <c r="E79" s="416">
        <f>E77+E78</f>
        <v>94748.254953696771</v>
      </c>
      <c r="F79" s="409"/>
      <c r="G79" s="416"/>
      <c r="H79" s="416"/>
      <c r="I79" s="416"/>
      <c r="J79" s="417"/>
    </row>
    <row r="80" spans="1:12">
      <c r="A80" s="407" t="s">
        <v>63</v>
      </c>
      <c r="B80" s="213"/>
      <c r="C80" s="213"/>
      <c r="D80" s="213"/>
      <c r="E80" s="551">
        <f>(1+$F$36/2)</f>
        <v>1.036</v>
      </c>
      <c r="F80" s="70"/>
      <c r="G80" s="70"/>
      <c r="H80" s="70"/>
      <c r="I80" s="70"/>
      <c r="J80" s="376"/>
      <c r="L80" s="17" t="s">
        <v>201</v>
      </c>
    </row>
    <row r="81" spans="1:21">
      <c r="A81" s="407" t="s">
        <v>658</v>
      </c>
      <c r="B81" s="213"/>
      <c r="C81" s="213"/>
      <c r="D81" s="213"/>
      <c r="E81" s="418">
        <f>E79*E80</f>
        <v>98159.192132029857</v>
      </c>
      <c r="F81" s="70"/>
      <c r="G81" s="70"/>
      <c r="H81" s="70"/>
      <c r="I81" s="70"/>
      <c r="J81" s="376"/>
    </row>
    <row r="82" spans="1:21">
      <c r="A82" s="407" t="s">
        <v>64</v>
      </c>
      <c r="B82" s="213"/>
      <c r="C82" s="213"/>
      <c r="D82" s="213"/>
      <c r="E82" s="418">
        <f>$F$25</f>
        <v>1485.1</v>
      </c>
      <c r="F82" s="70"/>
      <c r="G82" s="70"/>
      <c r="H82" s="70"/>
      <c r="I82" s="70"/>
      <c r="J82" s="376"/>
    </row>
    <row r="83" spans="1:21">
      <c r="A83" s="407" t="s">
        <v>65</v>
      </c>
      <c r="B83" s="213"/>
      <c r="C83" s="213"/>
      <c r="D83" s="213"/>
      <c r="E83" s="419">
        <f>E81/E82</f>
        <v>66.096015172062394</v>
      </c>
      <c r="F83" s="70"/>
      <c r="G83" s="70"/>
      <c r="H83" s="70"/>
      <c r="I83" s="70"/>
      <c r="J83" s="376"/>
      <c r="L83" s="17" t="s">
        <v>204</v>
      </c>
    </row>
    <row r="84" spans="1:21">
      <c r="A84" s="370"/>
      <c r="B84" s="70"/>
      <c r="C84" s="70"/>
      <c r="D84" s="70"/>
      <c r="E84" s="70"/>
      <c r="F84" s="70"/>
      <c r="G84" s="70"/>
      <c r="H84" s="70"/>
      <c r="I84" s="70"/>
      <c r="J84" s="376"/>
    </row>
    <row r="85" spans="1:21">
      <c r="A85" s="370" t="s">
        <v>49</v>
      </c>
      <c r="B85" s="70"/>
      <c r="C85" s="70"/>
      <c r="D85" s="70"/>
      <c r="E85" s="420">
        <f>$F$24</f>
        <v>56.84</v>
      </c>
      <c r="F85" s="70"/>
      <c r="G85" s="70"/>
      <c r="H85" s="70"/>
      <c r="I85" s="70"/>
      <c r="J85" s="376"/>
    </row>
    <row r="86" spans="1:21">
      <c r="A86" s="370" t="s">
        <v>66</v>
      </c>
      <c r="B86" s="70"/>
      <c r="C86" s="70"/>
      <c r="D86" s="70"/>
      <c r="E86" s="491">
        <f>E83/E85-1</f>
        <v>0.16284333518758598</v>
      </c>
      <c r="F86" s="70"/>
      <c r="G86" s="70"/>
      <c r="H86" s="70"/>
      <c r="I86" s="70"/>
      <c r="J86" s="376"/>
      <c r="L86" s="17" t="s">
        <v>67</v>
      </c>
    </row>
    <row r="87" spans="1:21" ht="13.5" thickBot="1">
      <c r="A87" s="389"/>
      <c r="B87" s="421"/>
      <c r="C87" s="421"/>
      <c r="D87" s="421"/>
      <c r="E87" s="421"/>
      <c r="F87" s="421"/>
      <c r="G87" s="421"/>
      <c r="H87" s="421"/>
      <c r="I87" s="421"/>
      <c r="J87" s="422"/>
    </row>
    <row r="88" spans="1:21" ht="13.5" thickTop="1">
      <c r="A88" s="80"/>
      <c r="B88" s="80"/>
      <c r="C88" s="80"/>
      <c r="D88" s="80"/>
      <c r="E88" s="80"/>
      <c r="F88" s="80"/>
      <c r="G88" s="80"/>
      <c r="H88" s="80"/>
      <c r="I88" s="80"/>
      <c r="J88" s="80"/>
    </row>
    <row r="89" spans="1:21" ht="13.5" thickBot="1">
      <c r="A89" s="80"/>
      <c r="B89" s="80"/>
      <c r="C89" s="80"/>
      <c r="D89" s="80"/>
      <c r="E89" s="80"/>
      <c r="F89" s="80"/>
      <c r="G89" s="80"/>
      <c r="H89" s="80"/>
      <c r="I89" s="80"/>
      <c r="J89" s="80"/>
      <c r="U89" s="17">
        <f>1/(0.042)</f>
        <v>23.809523809523807</v>
      </c>
    </row>
    <row r="90" spans="1:21" ht="13.5" thickTop="1">
      <c r="A90" s="392" t="s">
        <v>469</v>
      </c>
      <c r="B90" s="393"/>
      <c r="C90" s="394" t="str">
        <f>C18</f>
        <v>VALUATION MODELS</v>
      </c>
      <c r="D90" s="394"/>
      <c r="E90" s="395"/>
      <c r="F90" s="395"/>
      <c r="G90" s="395"/>
      <c r="H90" s="395"/>
      <c r="I90" s="395"/>
      <c r="J90" s="396"/>
      <c r="U90" s="17">
        <f>U89*J103</f>
        <v>114831.25441155478</v>
      </c>
    </row>
    <row r="91" spans="1:21">
      <c r="A91" s="366" t="str">
        <f>Data!$A$9</f>
        <v>Analyst Name:</v>
      </c>
      <c r="B91" s="367"/>
      <c r="C91" s="187" t="str">
        <f>Data!$B$9</f>
        <v>Wahlen, Baginski &amp; Bradshaw</v>
      </c>
      <c r="D91" s="189"/>
      <c r="E91" s="184"/>
      <c r="F91" s="190"/>
      <c r="G91" s="190"/>
      <c r="H91" s="190"/>
      <c r="I91" s="190"/>
      <c r="J91" s="368"/>
      <c r="L91" s="734">
        <f>E97+E98</f>
        <v>4396.7416534718486</v>
      </c>
      <c r="M91" s="734">
        <f t="shared" ref="M91:P91" si="0">F97+F98</f>
        <v>4452.8713972777541</v>
      </c>
      <c r="N91" s="734">
        <f t="shared" si="0"/>
        <v>5048.5833545824344</v>
      </c>
      <c r="O91" s="734">
        <f t="shared" si="0"/>
        <v>5706.8960120843458</v>
      </c>
      <c r="P91" s="734">
        <f t="shared" si="0"/>
        <v>6170.9185741613019</v>
      </c>
      <c r="Q91" s="734">
        <f>J97+J98</f>
        <v>5411.0839745150197</v>
      </c>
    </row>
    <row r="92" spans="1:21">
      <c r="A92" s="366" t="str">
        <f>Data!$A$10</f>
        <v>Company Name:</v>
      </c>
      <c r="B92" s="369"/>
      <c r="C92" s="187" t="str">
        <f>Data!$B$10</f>
        <v>Starbucks</v>
      </c>
      <c r="D92" s="184"/>
      <c r="E92" s="233"/>
      <c r="F92" s="190"/>
      <c r="G92" s="190"/>
      <c r="H92" s="190"/>
      <c r="I92" s="190"/>
      <c r="J92" s="368"/>
    </row>
    <row r="93" spans="1:21">
      <c r="A93" s="397"/>
      <c r="B93" s="70"/>
      <c r="C93" s="398"/>
      <c r="D93" s="70"/>
      <c r="E93" s="70"/>
      <c r="F93" s="70"/>
      <c r="G93" s="70"/>
      <c r="H93" s="70"/>
      <c r="I93" s="70"/>
      <c r="J93" s="399" t="s">
        <v>55</v>
      </c>
    </row>
    <row r="94" spans="1:21">
      <c r="A94" s="70"/>
      <c r="B94" s="70"/>
      <c r="C94" s="70"/>
      <c r="D94" s="70"/>
      <c r="E94" s="400">
        <v>1</v>
      </c>
      <c r="F94" s="400">
        <v>2</v>
      </c>
      <c r="G94" s="400">
        <v>3</v>
      </c>
      <c r="H94" s="400">
        <v>4</v>
      </c>
      <c r="I94" s="400">
        <v>5</v>
      </c>
      <c r="J94" s="401" t="s">
        <v>56</v>
      </c>
      <c r="L94" s="109" t="s">
        <v>522</v>
      </c>
    </row>
    <row r="95" spans="1:21">
      <c r="A95" s="402" t="s">
        <v>194</v>
      </c>
      <c r="B95" s="403"/>
      <c r="C95" s="403"/>
      <c r="D95" s="403"/>
      <c r="E95" s="404" t="s">
        <v>479</v>
      </c>
      <c r="F95" s="404" t="s">
        <v>480</v>
      </c>
      <c r="G95" s="404" t="s">
        <v>481</v>
      </c>
      <c r="H95" s="404" t="s">
        <v>482</v>
      </c>
      <c r="I95" s="404" t="s">
        <v>483</v>
      </c>
      <c r="J95" s="405" t="s">
        <v>484</v>
      </c>
      <c r="L95" s="406" t="s">
        <v>215</v>
      </c>
    </row>
    <row r="96" spans="1:21">
      <c r="A96" s="407"/>
      <c r="B96" s="70"/>
      <c r="C96" s="70"/>
      <c r="D96" s="70"/>
      <c r="E96" s="151"/>
      <c r="F96" s="151"/>
      <c r="G96" s="151"/>
      <c r="H96" s="151"/>
      <c r="I96" s="151"/>
      <c r="J96" s="399"/>
    </row>
    <row r="97" spans="1:12">
      <c r="A97" s="407" t="s">
        <v>57</v>
      </c>
      <c r="B97" s="70"/>
      <c r="C97" s="70"/>
      <c r="D97" s="70"/>
      <c r="E97" s="423">
        <f>Forecasts!E297</f>
        <v>4648.4935521391044</v>
      </c>
      <c r="F97" s="423">
        <f>Forecasts!F297</f>
        <v>4616.610706381216</v>
      </c>
      <c r="G97" s="423">
        <f>Forecasts!G297</f>
        <v>5264.2265332065981</v>
      </c>
      <c r="H97" s="423">
        <f>Forecasts!H297</f>
        <v>5942.3914469467563</v>
      </c>
      <c r="I97" s="423">
        <f>Forecasts!I297</f>
        <v>6427.9622532051662</v>
      </c>
      <c r="J97" s="424">
        <f>Forecasts!J297</f>
        <v>5490.6950795240609</v>
      </c>
      <c r="L97" s="17" t="s">
        <v>551</v>
      </c>
    </row>
    <row r="98" spans="1:12">
      <c r="A98" s="407" t="s">
        <v>199</v>
      </c>
      <c r="B98" s="70"/>
      <c r="C98" s="70"/>
      <c r="D98" s="70"/>
      <c r="E98" s="423">
        <f>-Forecasts!E315</f>
        <v>-251.75189866725577</v>
      </c>
      <c r="F98" s="423">
        <f>-Forecasts!F315</f>
        <v>-163.73930910346189</v>
      </c>
      <c r="G98" s="423">
        <f>-Forecasts!G315</f>
        <v>-215.64317862416374</v>
      </c>
      <c r="H98" s="423">
        <f>-Forecasts!H315</f>
        <v>-235.49543486241009</v>
      </c>
      <c r="I98" s="423">
        <f>-Forecasts!I315</f>
        <v>-257.0436790438639</v>
      </c>
      <c r="J98" s="424">
        <f>-Forecasts!J315</f>
        <v>-79.611105009041239</v>
      </c>
      <c r="L98" s="179" t="s">
        <v>197</v>
      </c>
    </row>
    <row r="99" spans="1:12">
      <c r="A99" s="408" t="s">
        <v>61</v>
      </c>
      <c r="B99" s="70"/>
      <c r="C99" s="70"/>
      <c r="D99" s="70"/>
      <c r="E99" s="423">
        <f>Forecasts!E305</f>
        <v>-1554.9990000000003</v>
      </c>
      <c r="F99" s="423">
        <f>Forecasts!F305</f>
        <v>-1662.5126700000001</v>
      </c>
      <c r="G99" s="423">
        <f>Forecasts!G305</f>
        <v>-1970.3949351000001</v>
      </c>
      <c r="H99" s="423">
        <f>Forecasts!H305</f>
        <v>-2278.6640124029996</v>
      </c>
      <c r="I99" s="423">
        <f>Forecasts!I305</f>
        <v>-2587.3390234875897</v>
      </c>
      <c r="J99" s="424">
        <f>Forecasts!J305</f>
        <v>-688.59628922971842</v>
      </c>
      <c r="L99" s="17" t="s">
        <v>552</v>
      </c>
    </row>
    <row r="100" spans="1:12">
      <c r="A100" s="370" t="s">
        <v>68</v>
      </c>
      <c r="B100" s="70"/>
      <c r="C100" s="70"/>
      <c r="D100" s="70"/>
      <c r="E100" s="423">
        <f>Forecasts!E306+Forecasts!E307</f>
        <v>1000</v>
      </c>
      <c r="F100" s="423">
        <f>Forecasts!F306+Forecasts!F307</f>
        <v>0</v>
      </c>
      <c r="G100" s="423">
        <f>Forecasts!G306+Forecasts!G307</f>
        <v>0</v>
      </c>
      <c r="H100" s="423">
        <f>Forecasts!H306+Forecasts!H307</f>
        <v>0</v>
      </c>
      <c r="I100" s="423">
        <f>Forecasts!I306+Forecasts!I307</f>
        <v>0</v>
      </c>
      <c r="J100" s="424">
        <f>Forecasts!J306+Forecasts!J307</f>
        <v>100.42500000000018</v>
      </c>
      <c r="L100" s="17" t="s">
        <v>553</v>
      </c>
    </row>
    <row r="101" spans="1:12">
      <c r="A101" s="370" t="s">
        <v>69</v>
      </c>
      <c r="B101" s="70"/>
      <c r="C101" s="70"/>
      <c r="D101" s="70"/>
      <c r="E101" s="423">
        <f t="shared" ref="E101:J101" si="1">-E252</f>
        <v>0</v>
      </c>
      <c r="F101" s="423">
        <f t="shared" si="1"/>
        <v>0</v>
      </c>
      <c r="G101" s="423">
        <f t="shared" si="1"/>
        <v>0</v>
      </c>
      <c r="H101" s="423">
        <f t="shared" si="1"/>
        <v>0</v>
      </c>
      <c r="I101" s="423">
        <f t="shared" si="1"/>
        <v>0</v>
      </c>
      <c r="J101" s="424">
        <f t="shared" si="1"/>
        <v>0</v>
      </c>
      <c r="L101" s="179" t="s">
        <v>196</v>
      </c>
    </row>
    <row r="102" spans="1:12">
      <c r="A102" s="407" t="s">
        <v>723</v>
      </c>
      <c r="B102" s="70"/>
      <c r="C102" s="70"/>
      <c r="D102" s="70"/>
      <c r="E102" s="423">
        <f>Forecasts!E308-Forecasts!E255+Forecasts!E313</f>
        <v>-1.8</v>
      </c>
      <c r="F102" s="423">
        <f>Forecasts!F308-Forecasts!F255+Forecasts!F313</f>
        <v>0</v>
      </c>
      <c r="G102" s="423">
        <f>Forecasts!G308-Forecasts!G255+Forecasts!G313</f>
        <v>0</v>
      </c>
      <c r="H102" s="423">
        <f>Forecasts!H308-Forecasts!H255+Forecasts!H313</f>
        <v>0</v>
      </c>
      <c r="I102" s="423">
        <f>Forecasts!I308-Forecasts!I255+Forecasts!I313</f>
        <v>0</v>
      </c>
      <c r="J102" s="423">
        <f>Forecasts!J308-Forecasts!J255+Forecasts!J313</f>
        <v>0</v>
      </c>
      <c r="L102" s="17" t="s">
        <v>554</v>
      </c>
    </row>
    <row r="103" spans="1:12">
      <c r="A103" s="402" t="s">
        <v>70</v>
      </c>
      <c r="B103" s="411"/>
      <c r="C103" s="411"/>
      <c r="D103" s="411"/>
      <c r="E103" s="425">
        <f t="shared" ref="E103:J103" si="2">SUM(E97:E102)</f>
        <v>3839.9426534718482</v>
      </c>
      <c r="F103" s="425">
        <f t="shared" si="2"/>
        <v>2790.358727277754</v>
      </c>
      <c r="G103" s="425">
        <f t="shared" si="2"/>
        <v>3078.1884194824343</v>
      </c>
      <c r="H103" s="425">
        <f t="shared" si="2"/>
        <v>3428.2319996813462</v>
      </c>
      <c r="I103" s="425">
        <f t="shared" si="2"/>
        <v>3583.5795506737122</v>
      </c>
      <c r="J103" s="426">
        <f t="shared" si="2"/>
        <v>4822.9126852853014</v>
      </c>
      <c r="L103" s="17" t="s">
        <v>556</v>
      </c>
    </row>
    <row r="104" spans="1:12">
      <c r="A104" s="370"/>
      <c r="B104" s="70"/>
      <c r="C104" s="70"/>
      <c r="D104" s="70"/>
      <c r="E104" s="427"/>
      <c r="F104" s="427"/>
      <c r="G104" s="427"/>
      <c r="H104" s="427"/>
      <c r="I104" s="427"/>
      <c r="J104" s="428"/>
    </row>
    <row r="105" spans="1:12">
      <c r="A105" s="407" t="s">
        <v>62</v>
      </c>
      <c r="B105" s="213"/>
      <c r="C105" s="213"/>
      <c r="D105" s="213"/>
      <c r="E105" s="429">
        <f>1/(1+$F$36)^E94</f>
        <v>0.93283582089552231</v>
      </c>
      <c r="F105" s="429">
        <f>1/(1+$F$36)^F94</f>
        <v>0.87018266874582295</v>
      </c>
      <c r="G105" s="429">
        <f>1/(1+$F$36)^G94</f>
        <v>0.81173756412856624</v>
      </c>
      <c r="H105" s="429">
        <f>1/(1+$F$36)^H94</f>
        <v>0.75721787698560261</v>
      </c>
      <c r="I105" s="429">
        <f>1/(1+$F$36)^I94</f>
        <v>0.7063599598746293</v>
      </c>
      <c r="J105" s="430"/>
      <c r="L105" s="17" t="s">
        <v>549</v>
      </c>
    </row>
    <row r="106" spans="1:12">
      <c r="A106" s="407" t="s">
        <v>659</v>
      </c>
      <c r="B106" s="213"/>
      <c r="C106" s="213"/>
      <c r="D106" s="213"/>
      <c r="E106" s="423">
        <f>E103*E105</f>
        <v>3582.0360573431417</v>
      </c>
      <c r="F106" s="423">
        <f>F103*F105</f>
        <v>2428.1218040607541</v>
      </c>
      <c r="G106" s="423">
        <f>G103*G105</f>
        <v>2498.6811695594324</v>
      </c>
      <c r="H106" s="423">
        <f>H103*H105</f>
        <v>2595.9185566128162</v>
      </c>
      <c r="I106" s="423">
        <f>I103*I105</f>
        <v>2531.2971076214253</v>
      </c>
      <c r="J106" s="424"/>
    </row>
    <row r="107" spans="1:12">
      <c r="A107" s="407" t="s">
        <v>660</v>
      </c>
      <c r="B107" s="213"/>
      <c r="C107" s="213"/>
      <c r="D107" s="213"/>
      <c r="E107" s="423">
        <f>SUM(E106:I106)</f>
        <v>13636.05469519757</v>
      </c>
      <c r="F107" s="423"/>
      <c r="G107" s="423"/>
      <c r="H107" s="423"/>
      <c r="I107" s="423"/>
      <c r="J107" s="431"/>
      <c r="L107" s="17" t="s">
        <v>509</v>
      </c>
    </row>
    <row r="108" spans="1:12">
      <c r="A108" s="370" t="s">
        <v>657</v>
      </c>
      <c r="B108" s="70"/>
      <c r="C108" s="70"/>
      <c r="D108" s="70"/>
      <c r="E108" s="432">
        <f>J103/($F$36-$F$29)*I105</f>
        <v>81112.200258499201</v>
      </c>
      <c r="F108" s="432"/>
      <c r="G108" s="70"/>
      <c r="H108" s="70"/>
      <c r="I108" s="70"/>
      <c r="J108" s="376"/>
      <c r="L108" s="17" t="s">
        <v>218</v>
      </c>
    </row>
    <row r="109" spans="1:12">
      <c r="A109" s="370" t="s">
        <v>71</v>
      </c>
      <c r="B109" s="70"/>
      <c r="C109" s="70"/>
      <c r="D109" s="70"/>
      <c r="E109" s="432">
        <f>E107+E108</f>
        <v>94748.254953696771</v>
      </c>
      <c r="F109" s="423"/>
      <c r="G109" s="70"/>
      <c r="H109" s="70"/>
      <c r="I109" s="70"/>
      <c r="J109" s="376"/>
    </row>
    <row r="110" spans="1:12">
      <c r="A110" s="407" t="s">
        <v>63</v>
      </c>
      <c r="B110" s="213"/>
      <c r="C110" s="213"/>
      <c r="D110" s="213"/>
      <c r="E110" s="433">
        <f>(1+$F$36/2)</f>
        <v>1.036</v>
      </c>
      <c r="F110" s="427"/>
      <c r="G110" s="70"/>
      <c r="H110" s="70"/>
      <c r="I110" s="70"/>
      <c r="J110" s="376"/>
      <c r="L110" s="17" t="s">
        <v>201</v>
      </c>
    </row>
    <row r="111" spans="1:12">
      <c r="A111" s="407" t="s">
        <v>661</v>
      </c>
      <c r="B111" s="213"/>
      <c r="C111" s="213"/>
      <c r="D111" s="213"/>
      <c r="E111" s="423">
        <f>E109*E110</f>
        <v>98159.192132029857</v>
      </c>
      <c r="F111" s="427"/>
      <c r="G111" s="70"/>
      <c r="H111" s="70"/>
      <c r="I111" s="70"/>
      <c r="J111" s="376"/>
    </row>
    <row r="112" spans="1:12">
      <c r="A112" s="407" t="s">
        <v>64</v>
      </c>
      <c r="B112" s="213"/>
      <c r="C112" s="213"/>
      <c r="D112" s="213"/>
      <c r="E112" s="423">
        <f>$F$25</f>
        <v>1485.1</v>
      </c>
      <c r="F112" s="427"/>
      <c r="G112" s="70"/>
      <c r="H112" s="70"/>
      <c r="I112" s="70"/>
      <c r="J112" s="376"/>
    </row>
    <row r="113" spans="1:12">
      <c r="A113" s="407" t="s">
        <v>65</v>
      </c>
      <c r="B113" s="213"/>
      <c r="C113" s="213"/>
      <c r="D113" s="213"/>
      <c r="E113" s="764">
        <f>E111/E112</f>
        <v>66.096015172062394</v>
      </c>
      <c r="F113" s="427"/>
      <c r="G113" s="70"/>
      <c r="H113" s="70"/>
      <c r="I113" s="70"/>
      <c r="J113" s="376"/>
      <c r="L113" s="17" t="s">
        <v>204</v>
      </c>
    </row>
    <row r="114" spans="1:12">
      <c r="A114" s="370"/>
      <c r="B114" s="70"/>
      <c r="C114" s="70"/>
      <c r="D114" s="70"/>
      <c r="E114" s="427"/>
      <c r="F114" s="427"/>
      <c r="G114" s="70"/>
      <c r="H114" s="70"/>
      <c r="I114" s="70"/>
      <c r="J114" s="376"/>
    </row>
    <row r="115" spans="1:12">
      <c r="A115" s="370" t="s">
        <v>49</v>
      </c>
      <c r="B115" s="70"/>
      <c r="C115" s="70"/>
      <c r="D115" s="70"/>
      <c r="E115" s="435">
        <f>$F$24</f>
        <v>56.84</v>
      </c>
      <c r="F115" s="427"/>
      <c r="G115" s="70"/>
      <c r="H115" s="70"/>
      <c r="I115" s="70"/>
      <c r="J115" s="376"/>
    </row>
    <row r="116" spans="1:12">
      <c r="A116" s="370" t="s">
        <v>66</v>
      </c>
      <c r="B116" s="70"/>
      <c r="C116" s="70"/>
      <c r="D116" s="70"/>
      <c r="E116" s="492">
        <f>E113/E115-1</f>
        <v>0.16284333518758598</v>
      </c>
      <c r="F116" s="427"/>
      <c r="G116" s="70"/>
      <c r="H116" s="70"/>
      <c r="I116" s="70"/>
      <c r="J116" s="376"/>
      <c r="L116" s="17" t="s">
        <v>67</v>
      </c>
    </row>
    <row r="117" spans="1:12" ht="13.5" thickBot="1">
      <c r="A117" s="389"/>
      <c r="B117" s="421"/>
      <c r="C117" s="421"/>
      <c r="D117" s="421"/>
      <c r="E117" s="421"/>
      <c r="F117" s="421"/>
      <c r="G117" s="421"/>
      <c r="H117" s="390"/>
      <c r="I117" s="390"/>
      <c r="J117" s="391"/>
    </row>
    <row r="118" spans="1:12" ht="13.5" thickTop="1">
      <c r="A118" s="70"/>
      <c r="B118" s="436"/>
      <c r="C118" s="436"/>
      <c r="D118" s="436"/>
      <c r="E118" s="436"/>
      <c r="F118" s="436"/>
      <c r="G118" s="436"/>
      <c r="H118" s="70"/>
      <c r="I118" s="70"/>
      <c r="J118" s="70"/>
    </row>
    <row r="119" spans="1:12" ht="13.5" thickBot="1">
      <c r="A119" s="390"/>
      <c r="B119" s="421"/>
      <c r="C119" s="421"/>
      <c r="D119" s="421"/>
      <c r="E119" s="421"/>
      <c r="F119" s="421"/>
      <c r="G119" s="421"/>
      <c r="H119" s="390"/>
      <c r="I119" s="390"/>
      <c r="J119" s="390"/>
    </row>
    <row r="120" spans="1:12" ht="13.5" thickTop="1">
      <c r="A120" s="392" t="s">
        <v>469</v>
      </c>
      <c r="B120" s="393"/>
      <c r="C120" s="394" t="str">
        <f>C18</f>
        <v>VALUATION MODELS</v>
      </c>
      <c r="D120" s="394"/>
      <c r="E120" s="395"/>
      <c r="F120" s="395"/>
      <c r="G120" s="395"/>
      <c r="H120" s="395"/>
      <c r="I120" s="395"/>
      <c r="J120" s="437"/>
      <c r="K120" s="382"/>
    </row>
    <row r="121" spans="1:12">
      <c r="A121" s="366" t="str">
        <f>Data!$A$9</f>
        <v>Analyst Name:</v>
      </c>
      <c r="B121" s="367"/>
      <c r="C121" s="187" t="str">
        <f>Data!$B$9</f>
        <v>Wahlen, Baginski &amp; Bradshaw</v>
      </c>
      <c r="D121" s="189"/>
      <c r="E121" s="184"/>
      <c r="F121" s="190"/>
      <c r="G121" s="190"/>
      <c r="H121" s="190"/>
      <c r="I121" s="190"/>
      <c r="J121" s="190"/>
      <c r="K121" s="382"/>
    </row>
    <row r="122" spans="1:12">
      <c r="A122" s="366" t="str">
        <f>Data!$A$10</f>
        <v>Company Name:</v>
      </c>
      <c r="B122" s="369"/>
      <c r="C122" s="187" t="str">
        <f>Data!$B$10</f>
        <v>Starbucks</v>
      </c>
      <c r="D122" s="184"/>
      <c r="E122" s="233"/>
      <c r="F122" s="190"/>
      <c r="G122" s="190"/>
      <c r="H122" s="190"/>
      <c r="I122" s="190"/>
      <c r="J122" s="190"/>
      <c r="K122" s="382"/>
    </row>
    <row r="123" spans="1:12">
      <c r="A123" s="397"/>
      <c r="B123" s="70"/>
      <c r="C123" s="398"/>
      <c r="D123" s="70"/>
      <c r="E123" s="70"/>
      <c r="F123" s="436"/>
      <c r="G123" s="436"/>
      <c r="H123" s="436"/>
      <c r="I123" s="436"/>
      <c r="J123" s="436"/>
      <c r="K123" s="382"/>
    </row>
    <row r="124" spans="1:12">
      <c r="A124" s="438" t="s">
        <v>781</v>
      </c>
      <c r="B124" s="439"/>
      <c r="C124" s="439"/>
      <c r="D124" s="439"/>
      <c r="E124" s="439"/>
      <c r="F124" s="440"/>
      <c r="G124" s="440"/>
      <c r="H124" s="440"/>
      <c r="I124" s="440"/>
      <c r="J124" s="440"/>
      <c r="K124" s="382"/>
    </row>
    <row r="125" spans="1:12">
      <c r="A125" s="370"/>
      <c r="B125" s="151"/>
      <c r="C125" s="70"/>
      <c r="D125" s="151"/>
      <c r="E125" s="151"/>
      <c r="F125" s="151"/>
      <c r="G125" s="151"/>
      <c r="H125" s="151"/>
      <c r="I125" s="151"/>
      <c r="J125" s="151"/>
      <c r="K125" s="382"/>
    </row>
    <row r="126" spans="1:12">
      <c r="A126" s="370"/>
      <c r="B126" s="70"/>
      <c r="C126" s="441" t="s">
        <v>72</v>
      </c>
      <c r="D126" s="70"/>
      <c r="E126" s="70"/>
      <c r="F126" s="70"/>
      <c r="G126" s="70"/>
      <c r="H126" s="70"/>
      <c r="I126" s="70"/>
      <c r="J126" s="70"/>
      <c r="K126" s="382"/>
      <c r="L126" s="109" t="s">
        <v>211</v>
      </c>
    </row>
    <row r="127" spans="1:12">
      <c r="A127" s="370"/>
      <c r="B127" s="442">
        <f>E113</f>
        <v>66.096015172062394</v>
      </c>
      <c r="C127" s="768">
        <v>0</v>
      </c>
      <c r="D127" s="769">
        <v>0.01</v>
      </c>
      <c r="E127" s="769">
        <v>0.02</v>
      </c>
      <c r="F127" s="769">
        <v>2.5000000000000001E-2</v>
      </c>
      <c r="G127" s="769">
        <v>0.03</v>
      </c>
      <c r="H127" s="769">
        <v>3.5000000000000003E-2</v>
      </c>
      <c r="I127" s="769">
        <v>0.04</v>
      </c>
      <c r="J127" s="770">
        <v>0.05</v>
      </c>
      <c r="K127" s="382"/>
      <c r="L127" s="17" t="s">
        <v>212</v>
      </c>
    </row>
    <row r="128" spans="1:12">
      <c r="A128" s="443" t="s">
        <v>73</v>
      </c>
      <c r="B128" s="767">
        <v>0.06</v>
      </c>
      <c r="C128" s="436">
        <f t="dataTable" ref="C128:J141" dt2D="1" dtr="0" r1="F29" r2="F36" ca="1"/>
        <v>52.049595088963457</v>
      </c>
      <c r="D128" s="436">
        <v>60.256920696124055</v>
      </c>
      <c r="E128" s="436">
        <v>72.567909106865002</v>
      </c>
      <c r="F128" s="436">
        <v>81.361472257394126</v>
      </c>
      <c r="G128" s="436">
        <v>93.086223124766335</v>
      </c>
      <c r="H128" s="436">
        <v>109.50087433908762</v>
      </c>
      <c r="I128" s="436">
        <v>134.12285116056958</v>
      </c>
      <c r="J128" s="436">
        <v>257.23273526797902</v>
      </c>
      <c r="K128" s="382"/>
    </row>
    <row r="129" spans="1:16">
      <c r="A129" s="443" t="s">
        <v>74</v>
      </c>
      <c r="B129" s="444">
        <v>6.5000000000000002E-2</v>
      </c>
      <c r="C129" s="436">
        <v>47.874092990032224</v>
      </c>
      <c r="D129" s="436">
        <v>54.600475786812559</v>
      </c>
      <c r="E129" s="436">
        <v>64.31636204882868</v>
      </c>
      <c r="F129" s="436">
        <v>70.996033853964661</v>
      </c>
      <c r="G129" s="436">
        <v>79.584183317710952</v>
      </c>
      <c r="H129" s="436">
        <v>91.035049269372806</v>
      </c>
      <c r="I129" s="436">
        <v>107.06626160169947</v>
      </c>
      <c r="J129" s="436">
        <v>171.19111093100577</v>
      </c>
      <c r="K129" s="382"/>
    </row>
    <row r="130" spans="1:16">
      <c r="A130" s="370"/>
      <c r="B130" s="444">
        <v>6.7000000000000004E-2</v>
      </c>
      <c r="C130" s="436">
        <v>46.380215389754795</v>
      </c>
      <c r="D130" s="436">
        <v>52.617761694192204</v>
      </c>
      <c r="E130" s="436">
        <v>61.509583021794562</v>
      </c>
      <c r="F130" s="436">
        <v>67.543318922667495</v>
      </c>
      <c r="G130" s="436">
        <v>75.2077942562088</v>
      </c>
      <c r="H130" s="436">
        <v>85.267418131481918</v>
      </c>
      <c r="I130" s="436">
        <v>99.05282862722656</v>
      </c>
      <c r="J130" s="436">
        <v>150.95084461120624</v>
      </c>
      <c r="K130" s="382"/>
    </row>
    <row r="131" spans="1:16">
      <c r="A131" s="370"/>
      <c r="B131" s="444">
        <v>7.0000000000000007E-2</v>
      </c>
      <c r="C131" s="436">
        <v>44.301291578394391</v>
      </c>
      <c r="D131" s="436">
        <v>49.893528582029305</v>
      </c>
      <c r="E131" s="445">
        <v>57.722660387118268</v>
      </c>
      <c r="F131" s="436">
        <v>62.942081590510817</v>
      </c>
      <c r="G131" s="436">
        <v>69.466358094751527</v>
      </c>
      <c r="H131" s="445">
        <v>77.854713600204008</v>
      </c>
      <c r="I131" s="436">
        <v>89.039187607473991</v>
      </c>
      <c r="J131" s="436">
        <v>128.18484663291872</v>
      </c>
      <c r="K131" s="382"/>
    </row>
    <row r="132" spans="1:16">
      <c r="A132" s="370"/>
      <c r="B132" s="444">
        <v>7.1999999999999995E-2</v>
      </c>
      <c r="C132" s="436">
        <v>43.01276132322684</v>
      </c>
      <c r="D132" s="436">
        <v>48.225108966512281</v>
      </c>
      <c r="E132" s="436">
        <v>55.442205703369133</v>
      </c>
      <c r="F132" s="445">
        <v>60.20241844470015</v>
      </c>
      <c r="G132" s="612">
        <v>66.096015172062394</v>
      </c>
      <c r="H132" s="436">
        <v>73.582475879792938</v>
      </c>
      <c r="I132" s="436">
        <v>83.408455558689283</v>
      </c>
      <c r="J132" s="436">
        <v>116.45947811497682</v>
      </c>
      <c r="K132" s="382"/>
    </row>
    <row r="133" spans="1:16">
      <c r="A133" s="370"/>
      <c r="B133" s="444">
        <v>7.4999999999999997E-2</v>
      </c>
      <c r="C133" s="436">
        <v>41.210480808149988</v>
      </c>
      <c r="D133" s="436">
        <v>45.916780201303816</v>
      </c>
      <c r="E133" s="436">
        <v>52.334461191968217</v>
      </c>
      <c r="F133" s="436">
        <v>56.505953835899973</v>
      </c>
      <c r="G133" s="436">
        <v>61.60444484514997</v>
      </c>
      <c r="H133" s="436">
        <v>67.97755860671252</v>
      </c>
      <c r="I133" s="436">
        <v>76.171562014435835</v>
      </c>
      <c r="J133" s="436">
        <v>102.39237291915029</v>
      </c>
      <c r="K133" s="382"/>
    </row>
    <row r="134" spans="1:16">
      <c r="A134" s="370"/>
      <c r="B134" s="444">
        <v>7.6999999999999999E-2</v>
      </c>
      <c r="C134" s="436">
        <v>40.088045570556837</v>
      </c>
      <c r="D134" s="436">
        <v>44.493878771677757</v>
      </c>
      <c r="E134" s="436">
        <v>50.445618359156953</v>
      </c>
      <c r="F134" s="436">
        <v>54.279912131859817</v>
      </c>
      <c r="G134" s="436">
        <v>58.930013090244159</v>
      </c>
      <c r="H134" s="436">
        <v>64.687280943482023</v>
      </c>
      <c r="I134" s="436">
        <v>72.000567135432846</v>
      </c>
      <c r="J134" s="436">
        <v>94.753013065946377</v>
      </c>
      <c r="K134" s="382"/>
    </row>
    <row r="135" spans="1:16">
      <c r="A135" s="370"/>
      <c r="B135" s="444">
        <v>0.08</v>
      </c>
      <c r="C135" s="436">
        <v>38.511133582561598</v>
      </c>
      <c r="D135" s="436">
        <v>42.513594437409068</v>
      </c>
      <c r="E135" s="436">
        <v>47.850208910539088</v>
      </c>
      <c r="F135" s="436">
        <v>51.246236302530839</v>
      </c>
      <c r="G135" s="436">
        <v>55.321469172920978</v>
      </c>
      <c r="H135" s="436">
        <v>60.302309347842339</v>
      </c>
      <c r="I135" s="436">
        <v>66.528359566494046</v>
      </c>
      <c r="J135" s="436">
        <v>85.206510222449097</v>
      </c>
      <c r="K135" s="382"/>
    </row>
    <row r="136" spans="1:16">
      <c r="A136" s="370"/>
      <c r="B136" s="444">
        <v>8.5000000000000006E-2</v>
      </c>
      <c r="C136" s="436">
        <v>36.134028217360019</v>
      </c>
      <c r="D136" s="436">
        <v>39.569109986202498</v>
      </c>
      <c r="E136" s="436">
        <v>44.061139991611974</v>
      </c>
      <c r="F136" s="436">
        <v>46.868658744992828</v>
      </c>
      <c r="G136" s="436">
        <v>50.18663545353386</v>
      </c>
      <c r="H136" s="436">
        <v>54.168207503783172</v>
      </c>
      <c r="I136" s="436">
        <v>59.034573342976792</v>
      </c>
      <c r="J136" s="436">
        <v>72.938475740672743</v>
      </c>
      <c r="K136" s="382"/>
    </row>
    <row r="137" spans="1:16">
      <c r="A137" s="370"/>
      <c r="B137" s="444">
        <v>0.09</v>
      </c>
      <c r="C137" s="436">
        <v>34.025330091096563</v>
      </c>
      <c r="D137" s="436">
        <v>36.997185598935495</v>
      </c>
      <c r="E137" s="436">
        <v>40.818142680442747</v>
      </c>
      <c r="F137" s="436">
        <v>43.169500884447153</v>
      </c>
      <c r="G137" s="436">
        <v>45.912752122452318</v>
      </c>
      <c r="H137" s="436">
        <v>49.154776312822115</v>
      </c>
      <c r="I137" s="436">
        <v>53.045205341265891</v>
      </c>
      <c r="J137" s="436">
        <v>63.743885169486184</v>
      </c>
      <c r="K137" s="382"/>
    </row>
    <row r="138" spans="1:16">
      <c r="A138" s="370"/>
      <c r="B138" s="444">
        <v>9.5000000000000001E-2</v>
      </c>
      <c r="C138" s="436">
        <v>32.142542255365946</v>
      </c>
      <c r="D138" s="436">
        <v>34.731952835624213</v>
      </c>
      <c r="E138" s="436">
        <v>38.011872903951406</v>
      </c>
      <c r="F138" s="436">
        <v>40.003252945435712</v>
      </c>
      <c r="G138" s="436">
        <v>42.300999147148396</v>
      </c>
      <c r="H138" s="436">
        <v>44.981703049146596</v>
      </c>
      <c r="I138" s="436">
        <v>48.149807660599024</v>
      </c>
      <c r="J138" s="436">
        <v>56.59808662447206</v>
      </c>
      <c r="K138" s="382"/>
    </row>
    <row r="139" spans="1:16">
      <c r="A139" s="370"/>
      <c r="B139" s="444">
        <v>0.1</v>
      </c>
      <c r="C139" s="436">
        <v>30.451670868611291</v>
      </c>
      <c r="D139" s="436">
        <v>32.722184574274301</v>
      </c>
      <c r="E139" s="436">
        <v>35.560326706353116</v>
      </c>
      <c r="F139" s="436">
        <v>37.26321198560035</v>
      </c>
      <c r="G139" s="436">
        <v>39.209366590454358</v>
      </c>
      <c r="H139" s="436">
        <v>41.45492959605518</v>
      </c>
      <c r="I139" s="436">
        <v>44.074753102589497</v>
      </c>
      <c r="J139" s="436">
        <v>50.886294219578623</v>
      </c>
      <c r="K139" s="382"/>
    </row>
    <row r="140" spans="1:16">
      <c r="A140" s="370"/>
      <c r="B140" s="444">
        <v>0.11</v>
      </c>
      <c r="C140" s="436">
        <v>27.540621697462118</v>
      </c>
      <c r="D140" s="436">
        <v>29.315376886992272</v>
      </c>
      <c r="E140" s="436">
        <v>31.484522118640275</v>
      </c>
      <c r="F140" s="436">
        <v>32.760489901962586</v>
      </c>
      <c r="G140" s="436">
        <v>34.195953658200203</v>
      </c>
      <c r="H140" s="436">
        <v>35.822812581936205</v>
      </c>
      <c r="I140" s="436">
        <v>37.682079923348795</v>
      </c>
      <c r="J140" s="436">
        <v>42.330248276880219</v>
      </c>
      <c r="K140" s="382"/>
    </row>
    <row r="141" spans="1:16">
      <c r="A141" s="370"/>
      <c r="B141" s="444">
        <v>0.12</v>
      </c>
      <c r="C141" s="436">
        <v>25.125872337575309</v>
      </c>
      <c r="D141" s="436">
        <v>26.539309536559855</v>
      </c>
      <c r="E141" s="436">
        <v>28.235434175341339</v>
      </c>
      <c r="F141" s="436">
        <v>29.217401071477948</v>
      </c>
      <c r="G141" s="436">
        <v>30.308475400518649</v>
      </c>
      <c r="H141" s="436">
        <v>31.527911415328873</v>
      </c>
      <c r="I141" s="436">
        <v>32.899776931990388</v>
      </c>
      <c r="J141" s="436">
        <v>36.231450329596875</v>
      </c>
      <c r="K141" s="382"/>
    </row>
    <row r="142" spans="1:16">
      <c r="A142" s="370"/>
      <c r="B142" s="446"/>
      <c r="C142" s="436"/>
      <c r="D142" s="436"/>
      <c r="E142" s="436"/>
      <c r="F142" s="436"/>
      <c r="G142" s="436"/>
      <c r="H142" s="436"/>
      <c r="I142" s="436"/>
      <c r="J142" s="436"/>
      <c r="K142" s="382"/>
    </row>
    <row r="143" spans="1:16" ht="13.5" thickBot="1">
      <c r="A143" s="389"/>
      <c r="B143" s="447"/>
      <c r="C143" s="421"/>
      <c r="D143" s="421"/>
      <c r="E143" s="421"/>
      <c r="F143" s="421"/>
      <c r="G143" s="421"/>
      <c r="H143" s="421"/>
      <c r="I143" s="421"/>
      <c r="J143" s="421"/>
      <c r="K143" s="382"/>
    </row>
    <row r="144" spans="1:16" s="52" customFormat="1" ht="13.5" thickTop="1">
      <c r="A144" s="70"/>
      <c r="B144" s="70"/>
      <c r="C144" s="70"/>
      <c r="D144" s="70"/>
      <c r="E144" s="70"/>
      <c r="F144" s="70"/>
      <c r="G144" s="70"/>
      <c r="H144" s="70"/>
      <c r="I144" s="70"/>
      <c r="J144" s="70"/>
      <c r="K144" s="17"/>
      <c r="L144" s="17"/>
      <c r="M144" s="17"/>
      <c r="N144" s="17"/>
      <c r="O144" s="17"/>
      <c r="P144" s="17"/>
    </row>
    <row r="145" spans="1:12" ht="13.5" thickBot="1">
      <c r="A145" s="390"/>
      <c r="B145" s="447"/>
      <c r="C145" s="421"/>
      <c r="D145" s="421"/>
      <c r="E145" s="421"/>
      <c r="F145" s="421"/>
      <c r="G145" s="421"/>
      <c r="H145" s="421"/>
      <c r="I145" s="421"/>
      <c r="J145" s="421"/>
    </row>
    <row r="146" spans="1:12" ht="13.5" thickTop="1">
      <c r="A146" s="392" t="s">
        <v>469</v>
      </c>
      <c r="B146" s="393"/>
      <c r="C146" s="394" t="str">
        <f>C18</f>
        <v>VALUATION MODELS</v>
      </c>
      <c r="D146" s="394"/>
      <c r="E146" s="395"/>
      <c r="F146" s="395"/>
      <c r="G146" s="395"/>
      <c r="H146" s="395"/>
      <c r="I146" s="395"/>
      <c r="J146" s="396"/>
    </row>
    <row r="147" spans="1:12">
      <c r="A147" s="366" t="str">
        <f>Data!$A$9</f>
        <v>Analyst Name:</v>
      </c>
      <c r="B147" s="367"/>
      <c r="C147" s="187" t="str">
        <f>Data!$B$9</f>
        <v>Wahlen, Baginski &amp; Bradshaw</v>
      </c>
      <c r="D147" s="189"/>
      <c r="E147" s="184"/>
      <c r="F147" s="190"/>
      <c r="G147" s="190"/>
      <c r="H147" s="190"/>
      <c r="I147" s="190"/>
      <c r="J147" s="368"/>
    </row>
    <row r="148" spans="1:12">
      <c r="A148" s="366" t="str">
        <f>Data!$A$10</f>
        <v>Company Name:</v>
      </c>
      <c r="B148" s="369"/>
      <c r="C148" s="187" t="str">
        <f>Data!$B$10</f>
        <v>Starbucks</v>
      </c>
      <c r="D148" s="184"/>
      <c r="E148" s="233"/>
      <c r="F148" s="190"/>
      <c r="G148" s="190"/>
      <c r="H148" s="190"/>
      <c r="I148" s="190"/>
      <c r="J148" s="368"/>
    </row>
    <row r="149" spans="1:12">
      <c r="A149" s="397"/>
      <c r="B149" s="70"/>
      <c r="C149" s="398"/>
      <c r="D149" s="70"/>
      <c r="E149" s="70"/>
      <c r="F149" s="70"/>
      <c r="G149" s="70"/>
      <c r="H149" s="70"/>
      <c r="I149" s="70"/>
      <c r="J149" s="399" t="s">
        <v>55</v>
      </c>
    </row>
    <row r="150" spans="1:12">
      <c r="A150" s="370"/>
      <c r="B150" s="70"/>
      <c r="C150" s="70"/>
      <c r="D150" s="70"/>
      <c r="E150" s="400">
        <v>1</v>
      </c>
      <c r="F150" s="400">
        <v>2</v>
      </c>
      <c r="G150" s="400">
        <v>3</v>
      </c>
      <c r="H150" s="400">
        <v>4</v>
      </c>
      <c r="I150" s="400">
        <v>5</v>
      </c>
      <c r="J150" s="401" t="s">
        <v>56</v>
      </c>
      <c r="L150" s="109" t="s">
        <v>213</v>
      </c>
    </row>
    <row r="151" spans="1:12">
      <c r="A151" s="402" t="s">
        <v>75</v>
      </c>
      <c r="B151" s="403"/>
      <c r="C151" s="403"/>
      <c r="D151" s="403"/>
      <c r="E151" s="404" t="s">
        <v>479</v>
      </c>
      <c r="F151" s="404" t="s">
        <v>480</v>
      </c>
      <c r="G151" s="404" t="s">
        <v>481</v>
      </c>
      <c r="H151" s="404" t="s">
        <v>482</v>
      </c>
      <c r="I151" s="404" t="s">
        <v>483</v>
      </c>
      <c r="J151" s="405" t="s">
        <v>484</v>
      </c>
      <c r="L151" s="406" t="s">
        <v>214</v>
      </c>
    </row>
    <row r="152" spans="1:12">
      <c r="A152" s="408" t="s">
        <v>76</v>
      </c>
      <c r="B152" s="70"/>
      <c r="C152" s="70"/>
      <c r="D152" s="70"/>
      <c r="E152" s="70"/>
      <c r="F152" s="70"/>
      <c r="G152" s="70"/>
      <c r="H152" s="70"/>
      <c r="I152" s="70"/>
      <c r="J152" s="376"/>
    </row>
    <row r="153" spans="1:12">
      <c r="A153" s="408" t="s">
        <v>77</v>
      </c>
      <c r="B153" s="70"/>
      <c r="C153" s="70"/>
      <c r="D153" s="70"/>
      <c r="E153" s="409">
        <f>Forecasts!E97-Forecasts!E255</f>
        <v>2794.3030909145627</v>
      </c>
      <c r="F153" s="409">
        <f>Forecasts!F97-Forecasts!F255</f>
        <v>3080.5733010646545</v>
      </c>
      <c r="G153" s="409">
        <f>Forecasts!G97-Forecasts!G255</f>
        <v>3489.9700434516499</v>
      </c>
      <c r="H153" s="409">
        <f>Forecasts!H97-Forecasts!H255</f>
        <v>3939.7634570817931</v>
      </c>
      <c r="I153" s="409">
        <f>Forecasts!I97-Forecasts!I255</f>
        <v>4894.9819415430848</v>
      </c>
      <c r="J153" s="410">
        <f>Forecasts!J97-Forecasts!J255</f>
        <v>5041.8313997893692</v>
      </c>
      <c r="L153" s="17" t="s">
        <v>558</v>
      </c>
    </row>
    <row r="154" spans="1:12">
      <c r="A154" s="407" t="s">
        <v>96</v>
      </c>
      <c r="B154" s="213"/>
      <c r="C154" s="213"/>
      <c r="D154" s="213"/>
      <c r="E154" s="409"/>
      <c r="F154" s="409"/>
      <c r="G154" s="409"/>
      <c r="H154" s="409"/>
      <c r="I154" s="409"/>
      <c r="J154" s="410"/>
    </row>
    <row r="155" spans="1:12">
      <c r="A155" s="407" t="s">
        <v>79</v>
      </c>
      <c r="B155" s="213"/>
      <c r="C155" s="213"/>
      <c r="D155" s="213"/>
      <c r="E155" s="409">
        <f>Forecasts!D234</f>
        <v>5818.0000000000009</v>
      </c>
      <c r="F155" s="409">
        <f>Forecasts!E234</f>
        <v>4772.360437442715</v>
      </c>
      <c r="G155" s="409">
        <f>Forecasts!F234</f>
        <v>5062.5750112296155</v>
      </c>
      <c r="H155" s="409">
        <f>Forecasts!G234</f>
        <v>5474.3566351988311</v>
      </c>
      <c r="I155" s="409">
        <f>Forecasts!H234</f>
        <v>5985.888092599278</v>
      </c>
      <c r="J155" s="409">
        <f>Forecasts!I234</f>
        <v>7297.2904834686497</v>
      </c>
      <c r="L155" s="17" t="s">
        <v>559</v>
      </c>
    </row>
    <row r="156" spans="1:12">
      <c r="A156" s="370"/>
      <c r="B156" s="213"/>
      <c r="C156" s="213"/>
      <c r="D156" s="213"/>
      <c r="E156" s="409"/>
      <c r="F156" s="409"/>
      <c r="G156" s="409"/>
      <c r="H156" s="409"/>
      <c r="I156" s="409"/>
      <c r="J156" s="410"/>
    </row>
    <row r="157" spans="1:12">
      <c r="A157" s="407" t="s">
        <v>80</v>
      </c>
      <c r="B157" s="213"/>
      <c r="C157" s="213"/>
      <c r="D157" s="213"/>
      <c r="E157" s="409">
        <f t="shared" ref="E157:J157" si="3">E155*$F$36</f>
        <v>418.89600000000002</v>
      </c>
      <c r="F157" s="409">
        <f t="shared" si="3"/>
        <v>343.60995149587546</v>
      </c>
      <c r="G157" s="409">
        <f t="shared" si="3"/>
        <v>364.50540080853227</v>
      </c>
      <c r="H157" s="409">
        <f t="shared" si="3"/>
        <v>394.15367773431581</v>
      </c>
      <c r="I157" s="409">
        <f t="shared" si="3"/>
        <v>430.98394266714797</v>
      </c>
      <c r="J157" s="410">
        <f t="shared" si="3"/>
        <v>525.40491480974276</v>
      </c>
      <c r="L157" s="17" t="s">
        <v>220</v>
      </c>
    </row>
    <row r="158" spans="1:12">
      <c r="A158" s="402" t="s">
        <v>81</v>
      </c>
      <c r="B158" s="411"/>
      <c r="C158" s="411"/>
      <c r="D158" s="411"/>
      <c r="E158" s="412">
        <f t="shared" ref="E158:J158" si="4">E153-E157</f>
        <v>2375.4070909145626</v>
      </c>
      <c r="F158" s="412">
        <f t="shared" si="4"/>
        <v>2736.963349568779</v>
      </c>
      <c r="G158" s="412">
        <f t="shared" si="4"/>
        <v>3125.4646426431177</v>
      </c>
      <c r="H158" s="412">
        <f t="shared" si="4"/>
        <v>3545.6097793474773</v>
      </c>
      <c r="I158" s="412">
        <f t="shared" si="4"/>
        <v>4463.9979988759369</v>
      </c>
      <c r="J158" s="448">
        <f t="shared" si="4"/>
        <v>4516.4264849796264</v>
      </c>
      <c r="L158" s="17" t="s">
        <v>221</v>
      </c>
    </row>
    <row r="159" spans="1:12">
      <c r="A159" s="407"/>
      <c r="B159" s="213"/>
      <c r="C159" s="213"/>
      <c r="D159" s="213"/>
      <c r="E159" s="449"/>
      <c r="F159" s="151"/>
      <c r="G159" s="151"/>
      <c r="H159" s="151"/>
      <c r="I159" s="151"/>
      <c r="J159" s="399"/>
    </row>
    <row r="160" spans="1:12">
      <c r="A160" s="407" t="s">
        <v>62</v>
      </c>
      <c r="B160" s="213"/>
      <c r="C160" s="213"/>
      <c r="D160" s="213"/>
      <c r="E160" s="413">
        <f>1/(1+$F$36)^E150</f>
        <v>0.93283582089552231</v>
      </c>
      <c r="F160" s="413">
        <f>1/(1+$F$36)^F150</f>
        <v>0.87018266874582295</v>
      </c>
      <c r="G160" s="413">
        <f>1/(1+$F$36)^G150</f>
        <v>0.81173756412856624</v>
      </c>
      <c r="H160" s="413">
        <f>1/(1+$F$36)^H150</f>
        <v>0.75721787698560261</v>
      </c>
      <c r="I160" s="413">
        <f>1/(1+$F$36)^I150</f>
        <v>0.7063599598746293</v>
      </c>
      <c r="J160" s="414"/>
      <c r="L160" s="17" t="s">
        <v>549</v>
      </c>
    </row>
    <row r="161" spans="1:12">
      <c r="A161" s="407" t="s">
        <v>662</v>
      </c>
      <c r="B161" s="213"/>
      <c r="C161" s="213"/>
      <c r="D161" s="213"/>
      <c r="E161" s="409">
        <f>E158*E160</f>
        <v>2215.8648236143304</v>
      </c>
      <c r="F161" s="409">
        <f>F158*F160</f>
        <v>2381.6580717872666</v>
      </c>
      <c r="G161" s="409">
        <f>G158*G160</f>
        <v>2537.0570557890842</v>
      </c>
      <c r="H161" s="409">
        <f>H158*H160</f>
        <v>2684.7991097368877</v>
      </c>
      <c r="I161" s="409">
        <f>I158*I160</f>
        <v>3153.1894473664324</v>
      </c>
      <c r="J161" s="410"/>
    </row>
    <row r="162" spans="1:12">
      <c r="A162" s="407" t="s">
        <v>663</v>
      </c>
      <c r="B162" s="213"/>
      <c r="C162" s="213"/>
      <c r="D162" s="213"/>
      <c r="E162" s="409">
        <f>SUM(E161:I161)</f>
        <v>12972.568508294</v>
      </c>
      <c r="F162" s="450"/>
      <c r="G162" s="450"/>
      <c r="H162" s="450"/>
      <c r="I162" s="450"/>
      <c r="J162" s="451"/>
      <c r="L162" s="17" t="s">
        <v>219</v>
      </c>
    </row>
    <row r="163" spans="1:12">
      <c r="A163" s="370" t="s">
        <v>657</v>
      </c>
      <c r="B163" s="70"/>
      <c r="C163" s="70"/>
      <c r="D163" s="70"/>
      <c r="E163" s="452">
        <f>J158/($F$36-$F$29)*$I$160</f>
        <v>75957.686445402913</v>
      </c>
      <c r="F163" s="450"/>
      <c r="G163" s="453"/>
      <c r="H163" s="151"/>
      <c r="I163" s="453"/>
      <c r="J163" s="399"/>
      <c r="L163" s="17" t="s">
        <v>521</v>
      </c>
    </row>
    <row r="164" spans="1:12">
      <c r="A164" s="407" t="s">
        <v>71</v>
      </c>
      <c r="B164" s="213"/>
      <c r="C164" s="213"/>
      <c r="D164" s="213"/>
      <c r="E164" s="409">
        <f>E162+E163</f>
        <v>88930.254953696916</v>
      </c>
      <c r="F164" s="450"/>
      <c r="G164" s="453"/>
      <c r="H164" s="151"/>
      <c r="I164" s="453"/>
      <c r="J164" s="399"/>
    </row>
    <row r="165" spans="1:12">
      <c r="A165" s="370" t="s">
        <v>82</v>
      </c>
      <c r="B165" s="70"/>
      <c r="C165" s="70"/>
      <c r="D165" s="70"/>
      <c r="E165" s="452">
        <f>E155</f>
        <v>5818.0000000000009</v>
      </c>
      <c r="F165" s="151"/>
      <c r="G165" s="454"/>
      <c r="H165" s="455"/>
      <c r="I165" s="455"/>
      <c r="J165" s="456"/>
    </row>
    <row r="166" spans="1:12">
      <c r="A166" s="407" t="s">
        <v>664</v>
      </c>
      <c r="B166" s="213"/>
      <c r="C166" s="213"/>
      <c r="D166" s="213"/>
      <c r="E166" s="409">
        <f>E164+E165</f>
        <v>94748.254953696916</v>
      </c>
      <c r="F166" s="151"/>
      <c r="G166" s="766"/>
      <c r="H166" s="455"/>
      <c r="I166" s="455"/>
      <c r="J166" s="456"/>
    </row>
    <row r="167" spans="1:12">
      <c r="A167" s="407" t="s">
        <v>63</v>
      </c>
      <c r="B167" s="213"/>
      <c r="C167" s="213"/>
      <c r="D167" s="213"/>
      <c r="E167" s="613">
        <f>(1+$F$36/2)</f>
        <v>1.036</v>
      </c>
      <c r="F167" s="151"/>
      <c r="G167" s="454"/>
      <c r="H167" s="455"/>
      <c r="I167" s="455"/>
      <c r="J167" s="456"/>
      <c r="L167" s="17" t="s">
        <v>201</v>
      </c>
    </row>
    <row r="168" spans="1:12">
      <c r="A168" s="407" t="s">
        <v>665</v>
      </c>
      <c r="B168" s="213"/>
      <c r="C168" s="213"/>
      <c r="D168" s="213"/>
      <c r="E168" s="409">
        <f>E166*E167</f>
        <v>98159.192132030003</v>
      </c>
      <c r="F168" s="151"/>
      <c r="G168" s="454"/>
      <c r="H168" s="455"/>
      <c r="I168" s="455"/>
      <c r="J168" s="456"/>
    </row>
    <row r="169" spans="1:12">
      <c r="A169" s="407" t="s">
        <v>64</v>
      </c>
      <c r="B169" s="213"/>
      <c r="C169" s="213"/>
      <c r="D169" s="213"/>
      <c r="E169" s="452">
        <f>$F$25</f>
        <v>1485.1</v>
      </c>
      <c r="F169" s="151"/>
      <c r="G169" s="454"/>
      <c r="H169" s="455"/>
      <c r="I169" s="455"/>
      <c r="J169" s="456"/>
    </row>
    <row r="170" spans="1:12">
      <c r="A170" s="407" t="s">
        <v>65</v>
      </c>
      <c r="B170" s="213"/>
      <c r="C170" s="213"/>
      <c r="D170" s="213"/>
      <c r="E170" s="765">
        <f>E168/E169</f>
        <v>66.096015172062494</v>
      </c>
      <c r="F170" s="151"/>
      <c r="G170" s="454"/>
      <c r="H170" s="455"/>
      <c r="I170" s="455"/>
      <c r="J170" s="456"/>
      <c r="L170" s="17" t="s">
        <v>204</v>
      </c>
    </row>
    <row r="171" spans="1:12">
      <c r="A171" s="370"/>
      <c r="B171" s="70"/>
      <c r="C171" s="70"/>
      <c r="D171" s="70"/>
      <c r="E171" s="151"/>
      <c r="F171" s="210"/>
      <c r="G171" s="454"/>
      <c r="H171" s="455"/>
      <c r="I171" s="455"/>
      <c r="J171" s="456"/>
    </row>
    <row r="172" spans="1:12">
      <c r="A172" s="370" t="s">
        <v>49</v>
      </c>
      <c r="B172" s="70"/>
      <c r="C172" s="70"/>
      <c r="D172" s="70"/>
      <c r="E172" s="459">
        <f>F24</f>
        <v>56.84</v>
      </c>
      <c r="F172" s="151"/>
      <c r="G172" s="454"/>
      <c r="H172" s="455"/>
      <c r="I172" s="455"/>
      <c r="J172" s="456"/>
    </row>
    <row r="173" spans="1:12">
      <c r="A173" s="370" t="s">
        <v>66</v>
      </c>
      <c r="B173" s="70"/>
      <c r="C173" s="70"/>
      <c r="D173" s="70"/>
      <c r="E173" s="493">
        <f>E170/E172-1</f>
        <v>0.16284333518758776</v>
      </c>
      <c r="F173" s="151"/>
      <c r="G173" s="454"/>
      <c r="H173" s="455"/>
      <c r="I173" s="455"/>
      <c r="J173" s="456"/>
      <c r="L173" s="17" t="s">
        <v>67</v>
      </c>
    </row>
    <row r="174" spans="1:12" ht="13.5" thickBot="1">
      <c r="A174" s="389"/>
      <c r="B174" s="390"/>
      <c r="C174" s="390"/>
      <c r="D174" s="390"/>
      <c r="E174" s="390"/>
      <c r="F174" s="390"/>
      <c r="G174" s="390"/>
      <c r="H174" s="447"/>
      <c r="I174" s="421"/>
      <c r="J174" s="422"/>
    </row>
    <row r="175" spans="1:12" ht="13.5" thickTop="1">
      <c r="A175" s="374"/>
      <c r="B175" s="374"/>
      <c r="C175" s="374"/>
      <c r="D175" s="374"/>
      <c r="E175" s="374"/>
      <c r="F175" s="374"/>
      <c r="G175" s="374"/>
      <c r="H175" s="460"/>
      <c r="I175" s="461"/>
      <c r="J175" s="461"/>
    </row>
    <row r="176" spans="1:12" ht="13.5" thickBot="1">
      <c r="A176" s="70"/>
      <c r="B176" s="70"/>
      <c r="C176" s="70"/>
      <c r="D176" s="70"/>
      <c r="E176" s="70"/>
      <c r="F176" s="70"/>
      <c r="G176" s="70"/>
      <c r="H176" s="446"/>
      <c r="I176" s="436"/>
      <c r="J176" s="436"/>
    </row>
    <row r="177" spans="1:15" ht="13.5" thickTop="1">
      <c r="A177" s="392" t="s">
        <v>469</v>
      </c>
      <c r="B177" s="393"/>
      <c r="C177" s="394" t="str">
        <f>C18</f>
        <v>VALUATION MODELS</v>
      </c>
      <c r="D177" s="394"/>
      <c r="E177" s="395"/>
      <c r="F177" s="395"/>
      <c r="G177" s="395"/>
      <c r="H177" s="395"/>
      <c r="I177" s="395"/>
      <c r="J177" s="396"/>
    </row>
    <row r="178" spans="1:15">
      <c r="A178" s="366" t="str">
        <f>Data!$A$9</f>
        <v>Analyst Name:</v>
      </c>
      <c r="B178" s="367"/>
      <c r="C178" s="187" t="str">
        <f>Data!$B$9</f>
        <v>Wahlen, Baginski &amp; Bradshaw</v>
      </c>
      <c r="D178" s="189"/>
      <c r="E178" s="184"/>
      <c r="F178" s="190"/>
      <c r="G178" s="190"/>
      <c r="H178" s="190"/>
      <c r="I178" s="190"/>
      <c r="J178" s="368"/>
    </row>
    <row r="179" spans="1:15">
      <c r="A179" s="366" t="str">
        <f>Data!$A$10</f>
        <v>Company Name:</v>
      </c>
      <c r="B179" s="369"/>
      <c r="C179" s="187" t="str">
        <f>Data!$B$10</f>
        <v>Starbucks</v>
      </c>
      <c r="D179" s="184"/>
      <c r="E179" s="233"/>
      <c r="F179" s="190"/>
      <c r="G179" s="190"/>
      <c r="H179" s="190"/>
      <c r="I179" s="190"/>
      <c r="J179" s="368"/>
      <c r="O179" s="446"/>
    </row>
    <row r="180" spans="1:15">
      <c r="A180" s="397"/>
      <c r="B180" s="70"/>
      <c r="C180" s="398"/>
      <c r="D180" s="70"/>
      <c r="E180" s="70"/>
      <c r="F180" s="70"/>
      <c r="G180" s="70"/>
      <c r="H180" s="446"/>
      <c r="I180" s="436"/>
      <c r="J180" s="462"/>
    </row>
    <row r="181" spans="1:15">
      <c r="A181" s="438" t="s">
        <v>83</v>
      </c>
      <c r="B181" s="439"/>
      <c r="C181" s="439"/>
      <c r="D181" s="439"/>
      <c r="E181" s="439"/>
      <c r="F181" s="440"/>
      <c r="G181" s="440"/>
      <c r="H181" s="440"/>
      <c r="I181" s="440"/>
      <c r="J181" s="463"/>
    </row>
    <row r="182" spans="1:15">
      <c r="A182" s="370"/>
      <c r="B182" s="70"/>
      <c r="C182" s="151"/>
      <c r="D182" s="70"/>
      <c r="E182" s="151"/>
      <c r="F182" s="151"/>
      <c r="G182" s="151"/>
      <c r="H182" s="151"/>
      <c r="I182" s="151"/>
      <c r="J182" s="399"/>
    </row>
    <row r="183" spans="1:15">
      <c r="A183" s="370"/>
      <c r="B183" s="70"/>
      <c r="C183" s="441" t="s">
        <v>72</v>
      </c>
      <c r="D183" s="70"/>
      <c r="E183" s="70"/>
      <c r="F183" s="70"/>
      <c r="G183" s="70"/>
      <c r="H183" s="70"/>
      <c r="I183" s="70"/>
      <c r="J183" s="376"/>
      <c r="L183" s="109" t="s">
        <v>211</v>
      </c>
    </row>
    <row r="184" spans="1:15">
      <c r="A184" s="370"/>
      <c r="B184" s="442">
        <f>E170</f>
        <v>66.096015172062494</v>
      </c>
      <c r="C184" s="768">
        <v>0</v>
      </c>
      <c r="D184" s="769">
        <v>0.01</v>
      </c>
      <c r="E184" s="769">
        <v>0.02</v>
      </c>
      <c r="F184" s="769">
        <v>2.5000000000000001E-2</v>
      </c>
      <c r="G184" s="769">
        <v>0.03</v>
      </c>
      <c r="H184" s="769">
        <v>3.5000000000000003E-2</v>
      </c>
      <c r="I184" s="769">
        <v>0.04</v>
      </c>
      <c r="J184" s="770">
        <v>0.05</v>
      </c>
      <c r="L184" s="17" t="s">
        <v>212</v>
      </c>
    </row>
    <row r="185" spans="1:15">
      <c r="A185" s="443" t="s">
        <v>73</v>
      </c>
      <c r="B185" s="767">
        <v>0.06</v>
      </c>
      <c r="C185" s="436">
        <f t="dataTable" ref="C185:J198" dt2D="1" dtr="0" r1="F29" r2="F36"/>
        <v>52.049595088963457</v>
      </c>
      <c r="D185" s="436">
        <v>60.256920696124062</v>
      </c>
      <c r="E185" s="436">
        <v>72.567909106865045</v>
      </c>
      <c r="F185" s="436">
        <v>81.361472257394283</v>
      </c>
      <c r="G185" s="436">
        <v>93.086223124766462</v>
      </c>
      <c r="H185" s="436">
        <v>109.50087433908774</v>
      </c>
      <c r="I185" s="436">
        <v>134.12285116056981</v>
      </c>
      <c r="J185" s="462">
        <v>257.23273526797914</v>
      </c>
    </row>
    <row r="186" spans="1:15">
      <c r="A186" s="443" t="s">
        <v>74</v>
      </c>
      <c r="B186" s="444">
        <v>6.5000000000000002E-2</v>
      </c>
      <c r="C186" s="436">
        <v>47.874092990032231</v>
      </c>
      <c r="D186" s="436">
        <v>54.600475786812581</v>
      </c>
      <c r="E186" s="436">
        <v>64.316362048828736</v>
      </c>
      <c r="F186" s="436">
        <v>70.996033853964818</v>
      </c>
      <c r="G186" s="436">
        <v>79.58418331771108</v>
      </c>
      <c r="H186" s="436">
        <v>91.035049269372934</v>
      </c>
      <c r="I186" s="436">
        <v>107.06626160169964</v>
      </c>
      <c r="J186" s="462">
        <v>171.19111093100591</v>
      </c>
    </row>
    <row r="187" spans="1:15">
      <c r="A187" s="370"/>
      <c r="B187" s="444">
        <v>6.7000000000000004E-2</v>
      </c>
      <c r="C187" s="436">
        <v>46.380215389754795</v>
      </c>
      <c r="D187" s="436">
        <v>52.617761694192218</v>
      </c>
      <c r="E187" s="436">
        <v>61.509583021794612</v>
      </c>
      <c r="F187" s="436">
        <v>67.543318922667623</v>
      </c>
      <c r="G187" s="436">
        <v>75.207794256208899</v>
      </c>
      <c r="H187" s="436">
        <v>85.267418131482017</v>
      </c>
      <c r="I187" s="436">
        <v>99.052828627226731</v>
      </c>
      <c r="J187" s="462">
        <v>150.95084461120635</v>
      </c>
    </row>
    <row r="188" spans="1:15">
      <c r="A188" s="370"/>
      <c r="B188" s="444">
        <v>7.0000000000000007E-2</v>
      </c>
      <c r="C188" s="436">
        <v>44.301291578394391</v>
      </c>
      <c r="D188" s="436">
        <v>49.893528582029333</v>
      </c>
      <c r="E188" s="445">
        <v>57.72266038711831</v>
      </c>
      <c r="F188" s="436">
        <v>62.942081590510952</v>
      </c>
      <c r="G188" s="436">
        <v>69.466358094751641</v>
      </c>
      <c r="H188" s="445">
        <v>77.854713600204107</v>
      </c>
      <c r="I188" s="436">
        <v>89.039187607474119</v>
      </c>
      <c r="J188" s="462">
        <v>128.18484663291883</v>
      </c>
    </row>
    <row r="189" spans="1:15">
      <c r="A189" s="370"/>
      <c r="B189" s="444">
        <v>7.1999999999999995E-2</v>
      </c>
      <c r="C189" s="436">
        <v>43.01276132322684</v>
      </c>
      <c r="D189" s="436">
        <v>48.225108966512302</v>
      </c>
      <c r="E189" s="436">
        <v>55.442205703369169</v>
      </c>
      <c r="F189" s="445">
        <v>60.202418444700264</v>
      </c>
      <c r="G189" s="612">
        <v>66.096015172062494</v>
      </c>
      <c r="H189" s="436">
        <v>73.582475879793009</v>
      </c>
      <c r="I189" s="436">
        <v>83.408455558689425</v>
      </c>
      <c r="J189" s="462">
        <v>116.45947811497692</v>
      </c>
    </row>
    <row r="190" spans="1:15">
      <c r="A190" s="370"/>
      <c r="B190" s="444">
        <v>7.4999999999999997E-2</v>
      </c>
      <c r="C190" s="436">
        <v>41.210480808149988</v>
      </c>
      <c r="D190" s="436">
        <v>45.916780201303837</v>
      </c>
      <c r="E190" s="436">
        <v>52.334461191968252</v>
      </c>
      <c r="F190" s="436">
        <v>56.505953835900101</v>
      </c>
      <c r="G190" s="436">
        <v>61.604444845150049</v>
      </c>
      <c r="H190" s="436">
        <v>67.977558606712591</v>
      </c>
      <c r="I190" s="436">
        <v>76.171562014435963</v>
      </c>
      <c r="J190" s="462">
        <v>102.39237291915038</v>
      </c>
    </row>
    <row r="191" spans="1:15">
      <c r="A191" s="370"/>
      <c r="B191" s="444">
        <v>7.6999999999999999E-2</v>
      </c>
      <c r="C191" s="436">
        <v>40.088045570556829</v>
      </c>
      <c r="D191" s="436">
        <v>44.493878771677764</v>
      </c>
      <c r="E191" s="436">
        <v>50.445618359156981</v>
      </c>
      <c r="F191" s="436">
        <v>54.279912131859909</v>
      </c>
      <c r="G191" s="436">
        <v>58.930013090244252</v>
      </c>
      <c r="H191" s="436">
        <v>64.687280943482108</v>
      </c>
      <c r="I191" s="436">
        <v>72.000567135432973</v>
      </c>
      <c r="J191" s="462">
        <v>94.753013065946476</v>
      </c>
    </row>
    <row r="192" spans="1:15">
      <c r="A192" s="370"/>
      <c r="B192" s="444">
        <v>0.08</v>
      </c>
      <c r="C192" s="436">
        <v>38.511133582561598</v>
      </c>
      <c r="D192" s="436">
        <v>42.513594437409083</v>
      </c>
      <c r="E192" s="436">
        <v>47.850208910539131</v>
      </c>
      <c r="F192" s="436">
        <v>51.246236302530939</v>
      </c>
      <c r="G192" s="436">
        <v>55.321469172921056</v>
      </c>
      <c r="H192" s="436">
        <v>60.302309347842403</v>
      </c>
      <c r="I192" s="436">
        <v>66.528359566494174</v>
      </c>
      <c r="J192" s="462">
        <v>85.206510222449154</v>
      </c>
    </row>
    <row r="193" spans="1:15">
      <c r="A193" s="370"/>
      <c r="B193" s="444">
        <v>8.5000000000000006E-2</v>
      </c>
      <c r="C193" s="436">
        <v>36.134028217360019</v>
      </c>
      <c r="D193" s="436">
        <v>39.56910998620252</v>
      </c>
      <c r="E193" s="436">
        <v>44.061139991612002</v>
      </c>
      <c r="F193" s="436">
        <v>46.868658744992921</v>
      </c>
      <c r="G193" s="436">
        <v>50.186635453533917</v>
      </c>
      <c r="H193" s="436">
        <v>54.168207503783222</v>
      </c>
      <c r="I193" s="436">
        <v>59.03457334297687</v>
      </c>
      <c r="J193" s="462">
        <v>72.938475740672772</v>
      </c>
    </row>
    <row r="194" spans="1:15">
      <c r="A194" s="370"/>
      <c r="B194" s="444">
        <v>0.09</v>
      </c>
      <c r="C194" s="436">
        <v>34.025330091096556</v>
      </c>
      <c r="D194" s="436">
        <v>36.997185598935509</v>
      </c>
      <c r="E194" s="436">
        <v>40.818142680442776</v>
      </c>
      <c r="F194" s="436">
        <v>43.169500884447224</v>
      </c>
      <c r="G194" s="436">
        <v>45.912752122452375</v>
      </c>
      <c r="H194" s="436">
        <v>49.154776312822165</v>
      </c>
      <c r="I194" s="436">
        <v>53.045205341265969</v>
      </c>
      <c r="J194" s="462">
        <v>63.743885169486234</v>
      </c>
    </row>
    <row r="195" spans="1:15">
      <c r="A195" s="370"/>
      <c r="B195" s="444">
        <v>9.5000000000000001E-2</v>
      </c>
      <c r="C195" s="436">
        <v>32.142542255365953</v>
      </c>
      <c r="D195" s="436">
        <v>34.731952835624227</v>
      </c>
      <c r="E195" s="436">
        <v>38.011872903951435</v>
      </c>
      <c r="F195" s="436">
        <v>40.00325294543579</v>
      </c>
      <c r="G195" s="436">
        <v>42.30099914714846</v>
      </c>
      <c r="H195" s="436">
        <v>44.981703049146645</v>
      </c>
      <c r="I195" s="436">
        <v>48.149807660599095</v>
      </c>
      <c r="J195" s="462">
        <v>56.59808662447211</v>
      </c>
    </row>
    <row r="196" spans="1:15">
      <c r="A196" s="370"/>
      <c r="B196" s="444">
        <v>0.1</v>
      </c>
      <c r="C196" s="436">
        <v>30.451670868611291</v>
      </c>
      <c r="D196" s="436">
        <v>32.722184574274323</v>
      </c>
      <c r="E196" s="436">
        <v>35.560326706353145</v>
      </c>
      <c r="F196" s="436">
        <v>37.263211985600421</v>
      </c>
      <c r="G196" s="436">
        <v>39.209366590454415</v>
      </c>
      <c r="H196" s="436">
        <v>41.45492959605523</v>
      </c>
      <c r="I196" s="436">
        <v>44.074753102589554</v>
      </c>
      <c r="J196" s="462">
        <v>50.886294219578652</v>
      </c>
      <c r="O196" s="771"/>
    </row>
    <row r="197" spans="1:15">
      <c r="A197" s="370"/>
      <c r="B197" s="444">
        <v>0.11</v>
      </c>
      <c r="C197" s="436">
        <v>27.540621697462122</v>
      </c>
      <c r="D197" s="436">
        <v>29.31537688699229</v>
      </c>
      <c r="E197" s="436">
        <v>31.484522118640296</v>
      </c>
      <c r="F197" s="436">
        <v>32.76048990196265</v>
      </c>
      <c r="G197" s="436">
        <v>34.195953658200246</v>
      </c>
      <c r="H197" s="436">
        <v>35.822812581936248</v>
      </c>
      <c r="I197" s="436">
        <v>37.682079923348859</v>
      </c>
      <c r="J197" s="462">
        <v>42.330248276880255</v>
      </c>
    </row>
    <row r="198" spans="1:15">
      <c r="A198" s="370"/>
      <c r="B198" s="444">
        <v>0.12</v>
      </c>
      <c r="C198" s="436">
        <v>25.125872337575309</v>
      </c>
      <c r="D198" s="436">
        <v>26.539309536559859</v>
      </c>
      <c r="E198" s="436">
        <v>28.235434175341354</v>
      </c>
      <c r="F198" s="436">
        <v>29.217401071478001</v>
      </c>
      <c r="G198" s="436">
        <v>30.308475400518677</v>
      </c>
      <c r="H198" s="436">
        <v>31.527911415328898</v>
      </c>
      <c r="I198" s="436">
        <v>32.899776931990438</v>
      </c>
      <c r="J198" s="462">
        <v>36.231450329596896</v>
      </c>
    </row>
    <row r="199" spans="1:15">
      <c r="A199" s="370"/>
      <c r="B199" s="446"/>
      <c r="C199" s="436"/>
      <c r="D199" s="436"/>
      <c r="E199" s="436"/>
      <c r="F199" s="436"/>
      <c r="G199" s="436"/>
      <c r="H199" s="436"/>
      <c r="I199" s="436"/>
      <c r="J199" s="462"/>
    </row>
    <row r="200" spans="1:15" ht="13.5" thickBot="1">
      <c r="A200" s="389"/>
      <c r="B200" s="447"/>
      <c r="C200" s="421"/>
      <c r="D200" s="421"/>
      <c r="E200" s="421"/>
      <c r="F200" s="421"/>
      <c r="G200" s="421"/>
      <c r="H200" s="421"/>
      <c r="I200" s="421"/>
      <c r="J200" s="422"/>
    </row>
    <row r="201" spans="1:15" ht="13.5" thickTop="1">
      <c r="A201" s="374"/>
      <c r="B201" s="460"/>
      <c r="C201" s="461"/>
      <c r="D201" s="461"/>
      <c r="E201" s="461"/>
      <c r="F201" s="461"/>
      <c r="G201" s="461"/>
      <c r="H201" s="461"/>
      <c r="I201" s="461"/>
      <c r="J201" s="461"/>
    </row>
    <row r="202" spans="1:15" ht="13.5" thickBot="1">
      <c r="A202" s="390"/>
      <c r="B202" s="447"/>
      <c r="C202" s="421"/>
      <c r="D202" s="421"/>
      <c r="E202" s="421"/>
      <c r="F202" s="421"/>
      <c r="G202" s="421"/>
      <c r="H202" s="421"/>
      <c r="I202" s="421"/>
      <c r="J202" s="421"/>
    </row>
    <row r="203" spans="1:15" ht="13.5" thickTop="1">
      <c r="A203" s="392" t="s">
        <v>469</v>
      </c>
      <c r="B203" s="393"/>
      <c r="C203" s="394" t="str">
        <f>C18</f>
        <v>VALUATION MODELS</v>
      </c>
      <c r="D203" s="394"/>
      <c r="E203" s="395"/>
      <c r="F203" s="395"/>
      <c r="G203" s="395"/>
      <c r="H203" s="395"/>
      <c r="I203" s="395"/>
      <c r="J203" s="396"/>
    </row>
    <row r="204" spans="1:15">
      <c r="A204" s="366" t="str">
        <f>Data!$A$9</f>
        <v>Analyst Name:</v>
      </c>
      <c r="B204" s="367"/>
      <c r="C204" s="187" t="str">
        <f>Data!$B$9</f>
        <v>Wahlen, Baginski &amp; Bradshaw</v>
      </c>
      <c r="D204" s="189"/>
      <c r="E204" s="184"/>
      <c r="F204" s="190"/>
      <c r="G204" s="190"/>
      <c r="H204" s="190"/>
      <c r="I204" s="190"/>
      <c r="J204" s="368"/>
    </row>
    <row r="205" spans="1:15">
      <c r="A205" s="366" t="str">
        <f>Data!$A$10</f>
        <v>Company Name:</v>
      </c>
      <c r="B205" s="369"/>
      <c r="C205" s="187" t="str">
        <f>Data!$B$10</f>
        <v>Starbucks</v>
      </c>
      <c r="D205" s="184"/>
      <c r="E205" s="233"/>
      <c r="F205" s="190"/>
      <c r="G205" s="190"/>
      <c r="H205" s="190"/>
      <c r="I205" s="190"/>
      <c r="J205" s="368"/>
    </row>
    <row r="206" spans="1:15">
      <c r="A206" s="397"/>
      <c r="B206" s="70"/>
      <c r="C206" s="398"/>
      <c r="D206" s="70"/>
      <c r="E206" s="70"/>
      <c r="F206" s="70"/>
      <c r="G206" s="70"/>
      <c r="H206" s="70"/>
      <c r="I206" s="70"/>
      <c r="J206" s="399" t="s">
        <v>55</v>
      </c>
    </row>
    <row r="207" spans="1:15">
      <c r="A207" s="402" t="s">
        <v>75</v>
      </c>
      <c r="B207" s="403"/>
      <c r="C207" s="403"/>
      <c r="D207" s="403"/>
      <c r="E207" s="400">
        <v>1</v>
      </c>
      <c r="F207" s="400">
        <v>2</v>
      </c>
      <c r="G207" s="400">
        <v>3</v>
      </c>
      <c r="H207" s="400">
        <v>4</v>
      </c>
      <c r="I207" s="400">
        <v>5</v>
      </c>
      <c r="J207" s="401" t="s">
        <v>56</v>
      </c>
      <c r="L207" s="109" t="s">
        <v>205</v>
      </c>
    </row>
    <row r="208" spans="1:15">
      <c r="A208" s="402" t="s">
        <v>84</v>
      </c>
      <c r="B208" s="403"/>
      <c r="C208" s="403"/>
      <c r="D208" s="403"/>
      <c r="E208" s="404" t="s">
        <v>479</v>
      </c>
      <c r="F208" s="404" t="s">
        <v>480</v>
      </c>
      <c r="G208" s="404" t="s">
        <v>481</v>
      </c>
      <c r="H208" s="404" t="s">
        <v>482</v>
      </c>
      <c r="I208" s="404" t="s">
        <v>483</v>
      </c>
      <c r="J208" s="405" t="s">
        <v>484</v>
      </c>
      <c r="L208" s="406" t="s">
        <v>216</v>
      </c>
    </row>
    <row r="209" spans="1:12">
      <c r="A209" s="408" t="s">
        <v>76</v>
      </c>
      <c r="B209" s="70"/>
      <c r="C209" s="70"/>
      <c r="D209" s="70"/>
      <c r="E209" s="70"/>
      <c r="F209" s="70"/>
      <c r="G209" s="70"/>
      <c r="H209" s="70"/>
      <c r="I209" s="70"/>
      <c r="J209" s="376"/>
    </row>
    <row r="210" spans="1:12">
      <c r="A210" s="408" t="s">
        <v>77</v>
      </c>
      <c r="B210" s="70"/>
      <c r="C210" s="70"/>
      <c r="D210" s="70"/>
      <c r="E210" s="409">
        <f t="shared" ref="E210:J210" si="5">E153</f>
        <v>2794.3030909145627</v>
      </c>
      <c r="F210" s="409">
        <f t="shared" si="5"/>
        <v>3080.5733010646545</v>
      </c>
      <c r="G210" s="409">
        <f t="shared" si="5"/>
        <v>3489.9700434516499</v>
      </c>
      <c r="H210" s="409">
        <f t="shared" si="5"/>
        <v>3939.7634570817931</v>
      </c>
      <c r="I210" s="409">
        <f t="shared" si="5"/>
        <v>4894.9819415430848</v>
      </c>
      <c r="J210" s="410">
        <f t="shared" si="5"/>
        <v>5041.8313997893692</v>
      </c>
      <c r="L210" s="17" t="s">
        <v>558</v>
      </c>
    </row>
    <row r="211" spans="1:12">
      <c r="A211" s="407" t="s">
        <v>78</v>
      </c>
      <c r="B211" s="213"/>
      <c r="C211" s="213"/>
      <c r="D211" s="213"/>
      <c r="E211" s="409"/>
      <c r="F211" s="452"/>
      <c r="G211" s="452"/>
      <c r="H211" s="452"/>
      <c r="I211" s="452"/>
      <c r="J211" s="415"/>
    </row>
    <row r="212" spans="1:12">
      <c r="A212" s="407" t="s">
        <v>79</v>
      </c>
      <c r="B212" s="213"/>
      <c r="C212" s="213"/>
      <c r="D212" s="213"/>
      <c r="E212" s="409">
        <f t="shared" ref="E212:J212" si="6">E155</f>
        <v>5818.0000000000009</v>
      </c>
      <c r="F212" s="409">
        <f t="shared" si="6"/>
        <v>4772.360437442715</v>
      </c>
      <c r="G212" s="409">
        <f t="shared" si="6"/>
        <v>5062.5750112296155</v>
      </c>
      <c r="H212" s="409">
        <f t="shared" si="6"/>
        <v>5474.3566351988311</v>
      </c>
      <c r="I212" s="409">
        <f t="shared" si="6"/>
        <v>5985.888092599278</v>
      </c>
      <c r="J212" s="410">
        <f t="shared" si="6"/>
        <v>7297.2904834686497</v>
      </c>
      <c r="L212" s="17" t="s">
        <v>560</v>
      </c>
    </row>
    <row r="213" spans="1:12">
      <c r="A213" s="407"/>
      <c r="B213" s="213"/>
      <c r="C213" s="213"/>
      <c r="D213" s="213"/>
      <c r="E213" s="464"/>
      <c r="F213" s="464"/>
      <c r="G213" s="464"/>
      <c r="H213" s="464"/>
      <c r="I213" s="464"/>
      <c r="J213" s="465"/>
    </row>
    <row r="214" spans="1:12">
      <c r="A214" s="407" t="s">
        <v>85</v>
      </c>
      <c r="B214" s="213"/>
      <c r="C214" s="213"/>
      <c r="D214" s="213"/>
      <c r="E214" s="466">
        <f t="shared" ref="E214:J214" si="7">E210/E212</f>
        <v>0.48028585268383678</v>
      </c>
      <c r="F214" s="466">
        <f t="shared" si="7"/>
        <v>0.64550306739098484</v>
      </c>
      <c r="G214" s="466">
        <f t="shared" si="7"/>
        <v>0.68936658433906228</v>
      </c>
      <c r="H214" s="466">
        <f t="shared" si="7"/>
        <v>0.71967606782320992</v>
      </c>
      <c r="I214" s="466">
        <f t="shared" si="7"/>
        <v>0.81775366759613366</v>
      </c>
      <c r="J214" s="467">
        <f t="shared" si="7"/>
        <v>0.69091828141022771</v>
      </c>
      <c r="L214" s="17" t="s">
        <v>222</v>
      </c>
    </row>
    <row r="215" spans="1:12">
      <c r="A215" s="407" t="s">
        <v>86</v>
      </c>
      <c r="B215" s="213"/>
      <c r="C215" s="213"/>
      <c r="D215" s="213"/>
      <c r="E215" s="466">
        <f t="shared" ref="E215:J215" si="8">E214-$F$36</f>
        <v>0.40828585268383677</v>
      </c>
      <c r="F215" s="466">
        <f t="shared" si="8"/>
        <v>0.57350306739098489</v>
      </c>
      <c r="G215" s="466">
        <f t="shared" si="8"/>
        <v>0.61736658433906233</v>
      </c>
      <c r="H215" s="466">
        <f t="shared" si="8"/>
        <v>0.64767606782320997</v>
      </c>
      <c r="I215" s="466">
        <f t="shared" si="8"/>
        <v>0.74575366759613371</v>
      </c>
      <c r="J215" s="467">
        <f t="shared" si="8"/>
        <v>0.61891828141022776</v>
      </c>
      <c r="L215" s="17" t="s">
        <v>223</v>
      </c>
    </row>
    <row r="216" spans="1:12">
      <c r="A216" s="407" t="s">
        <v>225</v>
      </c>
      <c r="B216" s="213"/>
      <c r="C216" s="213"/>
      <c r="D216" s="213"/>
      <c r="E216" s="466">
        <f t="shared" ref="E216:J216" si="9">E212/$E$212</f>
        <v>1</v>
      </c>
      <c r="F216" s="466">
        <f t="shared" si="9"/>
        <v>0.82027508378183467</v>
      </c>
      <c r="G216" s="466">
        <f t="shared" si="9"/>
        <v>0.87015727246985475</v>
      </c>
      <c r="H216" s="466">
        <f t="shared" si="9"/>
        <v>0.94093445087638883</v>
      </c>
      <c r="I216" s="466">
        <f t="shared" si="9"/>
        <v>1.028856667686366</v>
      </c>
      <c r="J216" s="467">
        <f t="shared" si="9"/>
        <v>1.254260997502346</v>
      </c>
      <c r="L216" s="17" t="s">
        <v>226</v>
      </c>
    </row>
    <row r="217" spans="1:12">
      <c r="A217" s="468" t="s">
        <v>506</v>
      </c>
      <c r="B217" s="411"/>
      <c r="C217" s="411"/>
      <c r="D217" s="411"/>
      <c r="E217" s="469">
        <f t="shared" ref="E217:J217" si="10">E215*E216</f>
        <v>0.40828585268383677</v>
      </c>
      <c r="F217" s="469">
        <f t="shared" si="10"/>
        <v>0.4704302766532793</v>
      </c>
      <c r="G217" s="469">
        <f t="shared" si="10"/>
        <v>0.53720602314250898</v>
      </c>
      <c r="H217" s="469">
        <f t="shared" si="10"/>
        <v>0.60942072522301083</v>
      </c>
      <c r="I217" s="469">
        <f t="shared" si="10"/>
        <v>0.76727363335784393</v>
      </c>
      <c r="J217" s="470">
        <f t="shared" si="10"/>
        <v>0.77628506101402994</v>
      </c>
      <c r="L217" s="17" t="s">
        <v>224</v>
      </c>
    </row>
    <row r="218" spans="1:12">
      <c r="A218" s="370"/>
      <c r="B218" s="213"/>
      <c r="C218" s="213"/>
      <c r="D218" s="213"/>
      <c r="E218" s="466"/>
      <c r="F218" s="466"/>
      <c r="G218" s="466"/>
      <c r="H218" s="466"/>
      <c r="I218" s="466"/>
      <c r="J218" s="467"/>
    </row>
    <row r="219" spans="1:12">
      <c r="A219" s="407" t="s">
        <v>62</v>
      </c>
      <c r="B219" s="213"/>
      <c r="C219" s="213"/>
      <c r="D219" s="213"/>
      <c r="E219" s="471">
        <f>1/(1+$F$36)^E207</f>
        <v>0.93283582089552231</v>
      </c>
      <c r="F219" s="471">
        <f>1/(1+$F$36)^F207</f>
        <v>0.87018266874582295</v>
      </c>
      <c r="G219" s="471">
        <f>1/(1+$F$36)^G207</f>
        <v>0.81173756412856624</v>
      </c>
      <c r="H219" s="471">
        <f>1/(1+$F$36)^H207</f>
        <v>0.75721787698560261</v>
      </c>
      <c r="I219" s="471">
        <f>1/(1+$F$36)^I207</f>
        <v>0.7063599598746293</v>
      </c>
      <c r="J219" s="430"/>
      <c r="L219" s="17" t="s">
        <v>549</v>
      </c>
    </row>
    <row r="220" spans="1:12">
      <c r="A220" s="407" t="s">
        <v>666</v>
      </c>
      <c r="B220" s="213"/>
      <c r="C220" s="213"/>
      <c r="D220" s="213"/>
      <c r="E220" s="471">
        <f>E217*E219</f>
        <v>0.38086366854835518</v>
      </c>
      <c r="F220" s="471">
        <f>F217*F219</f>
        <v>0.4093602735969864</v>
      </c>
      <c r="G220" s="471">
        <f>G217*G219</f>
        <v>0.43607030866089441</v>
      </c>
      <c r="H220" s="471">
        <f>H217*H219</f>
        <v>0.46146426774439453</v>
      </c>
      <c r="I220" s="471">
        <f>I217*I219</f>
        <v>0.54197137287150765</v>
      </c>
      <c r="J220" s="472"/>
    </row>
    <row r="221" spans="1:12">
      <c r="A221" s="407" t="s">
        <v>667</v>
      </c>
      <c r="B221" s="213"/>
      <c r="C221" s="213"/>
      <c r="D221" s="213"/>
      <c r="E221" s="473">
        <f>SUM(E220:I220)</f>
        <v>2.2297298914221382</v>
      </c>
      <c r="F221" s="450"/>
      <c r="G221" s="450"/>
      <c r="H221" s="450"/>
      <c r="I221" s="450"/>
      <c r="J221" s="451"/>
      <c r="L221" s="17" t="s">
        <v>507</v>
      </c>
    </row>
    <row r="222" spans="1:12">
      <c r="A222" s="370" t="s">
        <v>657</v>
      </c>
      <c r="B222" s="70"/>
      <c r="C222" s="70"/>
      <c r="D222" s="70"/>
      <c r="E222" s="474">
        <f>J217/($F$36-$F$29)*$I$219</f>
        <v>13.0556353464082</v>
      </c>
      <c r="F222" s="450"/>
      <c r="G222" s="450"/>
      <c r="H222" s="450"/>
      <c r="I222" s="450"/>
      <c r="J222" s="451"/>
      <c r="L222" s="17" t="s">
        <v>508</v>
      </c>
    </row>
    <row r="223" spans="1:12">
      <c r="A223" s="407" t="s">
        <v>668</v>
      </c>
      <c r="B223" s="213"/>
      <c r="C223" s="213"/>
      <c r="D223" s="213"/>
      <c r="E223" s="473">
        <f>E221+E222</f>
        <v>15.285365237830339</v>
      </c>
      <c r="F223" s="450"/>
      <c r="G223" s="450"/>
      <c r="H223" s="453"/>
      <c r="I223" s="151"/>
      <c r="J223" s="475"/>
    </row>
    <row r="224" spans="1:12">
      <c r="A224" s="370" t="s">
        <v>87</v>
      </c>
      <c r="B224" s="70"/>
      <c r="C224" s="70"/>
      <c r="D224" s="70"/>
      <c r="E224" s="476">
        <v>1</v>
      </c>
      <c r="F224" s="151"/>
      <c r="G224" s="455"/>
      <c r="H224" s="455"/>
      <c r="I224" s="455"/>
      <c r="J224" s="456"/>
    </row>
    <row r="225" spans="1:12">
      <c r="A225" s="370" t="s">
        <v>88</v>
      </c>
      <c r="B225" s="70"/>
      <c r="C225" s="70"/>
      <c r="D225" s="70"/>
      <c r="E225" s="474">
        <f>E223+E224</f>
        <v>16.285365237830341</v>
      </c>
      <c r="F225" s="151"/>
      <c r="G225" s="151"/>
      <c r="H225" s="151"/>
      <c r="I225" s="455"/>
      <c r="J225" s="456"/>
    </row>
    <row r="226" spans="1:12">
      <c r="A226" s="407" t="s">
        <v>89</v>
      </c>
      <c r="B226" s="213"/>
      <c r="C226" s="213"/>
      <c r="D226" s="213"/>
      <c r="E226" s="457">
        <f>(1+$F$36/2)</f>
        <v>1.036</v>
      </c>
      <c r="F226" s="151"/>
      <c r="G226" s="151"/>
      <c r="H226" s="151"/>
      <c r="I226" s="455"/>
      <c r="J226" s="456"/>
      <c r="L226" s="17" t="s">
        <v>201</v>
      </c>
    </row>
    <row r="227" spans="1:12">
      <c r="A227" s="370" t="s">
        <v>90</v>
      </c>
      <c r="B227" s="70"/>
      <c r="C227" s="70"/>
      <c r="D227" s="70"/>
      <c r="E227" s="477">
        <f>E225*E226</f>
        <v>16.871638386392235</v>
      </c>
      <c r="F227" s="151"/>
      <c r="G227" s="151"/>
      <c r="H227" s="151"/>
      <c r="I227" s="455"/>
      <c r="J227" s="456"/>
      <c r="L227" s="17" t="s">
        <v>520</v>
      </c>
    </row>
    <row r="228" spans="1:12">
      <c r="A228" s="370" t="s">
        <v>91</v>
      </c>
      <c r="B228" s="70"/>
      <c r="C228" s="70"/>
      <c r="D228" s="70"/>
      <c r="E228" s="452">
        <f>E212</f>
        <v>5818.0000000000009</v>
      </c>
      <c r="F228" s="151"/>
      <c r="G228" s="151"/>
      <c r="H228" s="151"/>
      <c r="I228" s="455"/>
      <c r="J228" s="456"/>
    </row>
    <row r="229" spans="1:12">
      <c r="A229" s="407" t="s">
        <v>665</v>
      </c>
      <c r="B229" s="213"/>
      <c r="C229" s="213"/>
      <c r="D229" s="213"/>
      <c r="E229" s="409">
        <f>E227*E228</f>
        <v>98159.192132030032</v>
      </c>
      <c r="F229" s="151"/>
      <c r="G229" s="459"/>
      <c r="H229" s="151"/>
      <c r="I229" s="455"/>
      <c r="J229" s="456"/>
    </row>
    <row r="230" spans="1:12">
      <c r="A230" s="407" t="s">
        <v>64</v>
      </c>
      <c r="B230" s="213"/>
      <c r="C230" s="213"/>
      <c r="D230" s="213"/>
      <c r="E230" s="409">
        <f>$F$25</f>
        <v>1485.1</v>
      </c>
      <c r="F230" s="210"/>
      <c r="G230" s="151"/>
      <c r="H230" s="151"/>
      <c r="I230" s="455"/>
      <c r="J230" s="456"/>
    </row>
    <row r="231" spans="1:12">
      <c r="A231" s="407" t="s">
        <v>65</v>
      </c>
      <c r="B231" s="213"/>
      <c r="C231" s="213"/>
      <c r="D231" s="213"/>
      <c r="E231" s="458">
        <f>E229/E230</f>
        <v>66.096015172062508</v>
      </c>
      <c r="F231" s="151"/>
      <c r="G231" s="151"/>
      <c r="H231" s="151"/>
      <c r="I231" s="455"/>
      <c r="J231" s="456"/>
      <c r="L231" s="17" t="s">
        <v>204</v>
      </c>
    </row>
    <row r="232" spans="1:12">
      <c r="A232" s="370"/>
      <c r="B232" s="70"/>
      <c r="C232" s="70"/>
      <c r="D232" s="70"/>
      <c r="E232" s="151"/>
      <c r="F232" s="151"/>
      <c r="G232" s="151"/>
      <c r="H232" s="151"/>
      <c r="I232" s="455"/>
      <c r="J232" s="456"/>
    </row>
    <row r="233" spans="1:12">
      <c r="A233" s="370" t="s">
        <v>49</v>
      </c>
      <c r="B233" s="70"/>
      <c r="C233" s="70"/>
      <c r="D233" s="70"/>
      <c r="E233" s="459">
        <f>$F$24</f>
        <v>56.84</v>
      </c>
      <c r="F233" s="151"/>
      <c r="G233" s="151"/>
      <c r="H233" s="151"/>
      <c r="I233" s="455"/>
      <c r="J233" s="456"/>
    </row>
    <row r="234" spans="1:12">
      <c r="A234" s="370" t="s">
        <v>66</v>
      </c>
      <c r="B234" s="70"/>
      <c r="C234" s="70"/>
      <c r="D234" s="70"/>
      <c r="E234" s="493">
        <f>E231/E233-1</f>
        <v>0.16284333518758798</v>
      </c>
      <c r="F234" s="151"/>
      <c r="G234" s="151"/>
      <c r="H234" s="151"/>
      <c r="I234" s="455"/>
      <c r="J234" s="456"/>
      <c r="L234" s="17" t="s">
        <v>67</v>
      </c>
    </row>
    <row r="235" spans="1:12">
      <c r="A235" s="370"/>
      <c r="B235" s="70"/>
      <c r="C235" s="70"/>
      <c r="D235" s="70"/>
      <c r="E235" s="70"/>
      <c r="F235" s="70"/>
      <c r="G235" s="70"/>
      <c r="H235" s="70"/>
      <c r="I235" s="70"/>
      <c r="J235" s="462"/>
    </row>
    <row r="236" spans="1:12" ht="13.5" thickBot="1">
      <c r="A236" s="389" t="s">
        <v>92</v>
      </c>
      <c r="B236" s="390"/>
      <c r="C236" s="390"/>
      <c r="D236" s="390"/>
      <c r="E236" s="390"/>
      <c r="F236" s="390"/>
      <c r="G236" s="390"/>
      <c r="H236" s="390"/>
      <c r="I236" s="390"/>
      <c r="J236" s="391"/>
    </row>
    <row r="237" spans="1:12" ht="13.5" thickTop="1">
      <c r="A237" s="374"/>
      <c r="B237" s="374"/>
      <c r="C237" s="374"/>
      <c r="D237" s="374"/>
      <c r="E237" s="374"/>
      <c r="F237" s="374"/>
      <c r="G237" s="374"/>
      <c r="H237" s="374"/>
      <c r="I237" s="374"/>
      <c r="J237" s="374"/>
    </row>
    <row r="238" spans="1:12" ht="13.5" thickBot="1">
      <c r="A238" s="455"/>
      <c r="B238" s="455"/>
      <c r="C238" s="455"/>
      <c r="D238" s="455"/>
      <c r="E238" s="455"/>
      <c r="F238" s="455"/>
      <c r="G238" s="455"/>
      <c r="H238" s="455"/>
      <c r="I238" s="455"/>
      <c r="J238" s="455"/>
    </row>
    <row r="239" spans="1:12" ht="13.5" thickTop="1">
      <c r="A239" s="392" t="s">
        <v>469</v>
      </c>
      <c r="B239" s="393"/>
      <c r="C239" s="394" t="str">
        <f>C18</f>
        <v>VALUATION MODELS</v>
      </c>
      <c r="D239" s="394"/>
      <c r="E239" s="395"/>
      <c r="F239" s="395"/>
      <c r="G239" s="395"/>
      <c r="H239" s="395"/>
      <c r="I239" s="395"/>
      <c r="J239" s="396"/>
    </row>
    <row r="240" spans="1:12">
      <c r="A240" s="366" t="str">
        <f>Data!$A$9</f>
        <v>Analyst Name:</v>
      </c>
      <c r="B240" s="367"/>
      <c r="C240" s="187" t="str">
        <f>Data!$B$9</f>
        <v>Wahlen, Baginski &amp; Bradshaw</v>
      </c>
      <c r="D240" s="189"/>
      <c r="E240" s="184"/>
      <c r="F240" s="190"/>
      <c r="G240" s="190"/>
      <c r="H240" s="190"/>
      <c r="I240" s="190"/>
      <c r="J240" s="368"/>
    </row>
    <row r="241" spans="1:12">
      <c r="A241" s="366" t="str">
        <f>Data!$A$10</f>
        <v>Company Name:</v>
      </c>
      <c r="B241" s="369"/>
      <c r="C241" s="187" t="str">
        <f>Data!$B$10</f>
        <v>Starbucks</v>
      </c>
      <c r="D241" s="184"/>
      <c r="E241" s="233"/>
      <c r="F241" s="190"/>
      <c r="G241" s="190"/>
      <c r="H241" s="190"/>
      <c r="I241" s="190"/>
      <c r="J241" s="368"/>
    </row>
    <row r="242" spans="1:12">
      <c r="A242" s="397"/>
      <c r="B242" s="70"/>
      <c r="C242" s="398"/>
      <c r="D242" s="70"/>
      <c r="E242" s="70"/>
      <c r="F242" s="70"/>
      <c r="G242" s="70"/>
      <c r="H242" s="478"/>
      <c r="I242" s="479"/>
      <c r="J242" s="399" t="s">
        <v>55</v>
      </c>
    </row>
    <row r="243" spans="1:12">
      <c r="A243" s="427"/>
      <c r="B243" s="427"/>
      <c r="C243" s="427"/>
      <c r="D243" s="427"/>
      <c r="E243" s="400">
        <v>1</v>
      </c>
      <c r="F243" s="400">
        <v>2</v>
      </c>
      <c r="G243" s="400">
        <v>3</v>
      </c>
      <c r="H243" s="400">
        <v>4</v>
      </c>
      <c r="I243" s="400">
        <v>5</v>
      </c>
      <c r="J243" s="401" t="s">
        <v>56</v>
      </c>
      <c r="L243" s="109" t="s">
        <v>523</v>
      </c>
    </row>
    <row r="244" spans="1:12">
      <c r="A244" s="402" t="s">
        <v>193</v>
      </c>
      <c r="B244" s="403"/>
      <c r="C244" s="403"/>
      <c r="D244" s="403"/>
      <c r="E244" s="404" t="s">
        <v>479</v>
      </c>
      <c r="F244" s="404" t="s">
        <v>480</v>
      </c>
      <c r="G244" s="404" t="s">
        <v>481</v>
      </c>
      <c r="H244" s="404" t="s">
        <v>482</v>
      </c>
      <c r="I244" s="404" t="s">
        <v>483</v>
      </c>
      <c r="J244" s="405" t="s">
        <v>484</v>
      </c>
      <c r="L244" s="406" t="s">
        <v>215</v>
      </c>
    </row>
    <row r="245" spans="1:12">
      <c r="A245" s="407"/>
      <c r="B245" s="70"/>
      <c r="C245" s="70"/>
      <c r="D245" s="70"/>
      <c r="E245" s="151"/>
      <c r="F245" s="151"/>
      <c r="G245" s="151"/>
      <c r="H245" s="151"/>
      <c r="I245" s="151"/>
      <c r="J245" s="399"/>
    </row>
    <row r="246" spans="1:12">
      <c r="A246" s="408" t="s">
        <v>57</v>
      </c>
      <c r="B246" s="70"/>
      <c r="C246" s="70"/>
      <c r="D246" s="70"/>
      <c r="E246" s="423">
        <f>Forecasts!E297</f>
        <v>4648.4935521391044</v>
      </c>
      <c r="F246" s="423">
        <f>Forecasts!F297</f>
        <v>4616.610706381216</v>
      </c>
      <c r="G246" s="423">
        <f>Forecasts!G297</f>
        <v>5264.2265332065981</v>
      </c>
      <c r="H246" s="423">
        <f>Forecasts!H297</f>
        <v>5942.3914469467563</v>
      </c>
      <c r="I246" s="423">
        <f>Forecasts!I297</f>
        <v>6427.9622532051662</v>
      </c>
      <c r="J246" s="424">
        <f>Forecasts!J297</f>
        <v>5490.6950795240609</v>
      </c>
      <c r="L246" s="17" t="s">
        <v>551</v>
      </c>
    </row>
    <row r="247" spans="1:12">
      <c r="A247" s="407" t="s">
        <v>58</v>
      </c>
      <c r="B247" s="70"/>
      <c r="C247" s="70"/>
      <c r="D247" s="70"/>
      <c r="E247" s="423">
        <f>-Forecasts!E62*(1-(-Forecasts!E75/Forecasts!E71))</f>
        <v>50.868674999999989</v>
      </c>
      <c r="F247" s="423">
        <f>-Forecasts!F62*(1-(-Forecasts!F75/Forecasts!F71))</f>
        <v>59.800839179104464</v>
      </c>
      <c r="G247" s="423">
        <f>-Forecasts!G62*(1-(-Forecasts!G75/Forecasts!G71))</f>
        <v>59.800839179104464</v>
      </c>
      <c r="H247" s="423">
        <f>-Forecasts!H62*(1-(-Forecasts!H75/Forecasts!H71))</f>
        <v>59.800839179104464</v>
      </c>
      <c r="I247" s="423">
        <f>-Forecasts!I62*(1-(-Forecasts!I75/Forecasts!I71))</f>
        <v>59.800839179104464</v>
      </c>
      <c r="J247" s="424">
        <f>-Forecasts!J62*(1-(-Forecasts!J75/Forecasts!J71))</f>
        <v>61.594864354477586</v>
      </c>
      <c r="L247" s="17" t="s">
        <v>561</v>
      </c>
    </row>
    <row r="248" spans="1:12">
      <c r="A248" s="407" t="s">
        <v>59</v>
      </c>
      <c r="B248" s="70"/>
      <c r="C248" s="70"/>
      <c r="D248" s="70"/>
      <c r="E248" s="423">
        <v>0</v>
      </c>
      <c r="F248" s="423">
        <v>0</v>
      </c>
      <c r="G248" s="423">
        <v>0</v>
      </c>
      <c r="H248" s="423">
        <v>0</v>
      </c>
      <c r="I248" s="423">
        <v>0</v>
      </c>
      <c r="J248" s="424">
        <v>0</v>
      </c>
      <c r="L248" s="17" t="s">
        <v>518</v>
      </c>
    </row>
    <row r="249" spans="1:12">
      <c r="A249" s="480" t="s">
        <v>199</v>
      </c>
      <c r="B249" s="70"/>
      <c r="C249" s="70"/>
      <c r="D249" s="70"/>
      <c r="E249" s="481">
        <f>-Forecasts!E315</f>
        <v>-251.75189866725577</v>
      </c>
      <c r="F249" s="481">
        <f>-Forecasts!F315</f>
        <v>-163.73930910346189</v>
      </c>
      <c r="G249" s="481">
        <f>-Forecasts!G315</f>
        <v>-215.64317862416374</v>
      </c>
      <c r="H249" s="481">
        <f>-Forecasts!H315</f>
        <v>-235.49543486241009</v>
      </c>
      <c r="I249" s="481">
        <f>-Forecasts!I315</f>
        <v>-257.0436790438639</v>
      </c>
      <c r="J249" s="482">
        <f>-Forecasts!J315</f>
        <v>-79.611105009041239</v>
      </c>
      <c r="L249" s="179" t="s">
        <v>198</v>
      </c>
    </row>
    <row r="250" spans="1:12">
      <c r="A250" s="407" t="s">
        <v>60</v>
      </c>
      <c r="B250" s="70"/>
      <c r="C250" s="70"/>
      <c r="D250" s="70"/>
      <c r="E250" s="432">
        <f t="shared" ref="E250:J250" si="11">SUM(E246:E249)</f>
        <v>4447.6103284718483</v>
      </c>
      <c r="F250" s="432">
        <f t="shared" si="11"/>
        <v>4512.6722364568586</v>
      </c>
      <c r="G250" s="432">
        <f t="shared" si="11"/>
        <v>5108.3841937615389</v>
      </c>
      <c r="H250" s="432">
        <f t="shared" si="11"/>
        <v>5766.6968512634503</v>
      </c>
      <c r="I250" s="432">
        <f t="shared" si="11"/>
        <v>6230.7194133404064</v>
      </c>
      <c r="J250" s="431">
        <f t="shared" si="11"/>
        <v>5472.6788388694977</v>
      </c>
    </row>
    <row r="251" spans="1:12">
      <c r="A251" s="408" t="s">
        <v>61</v>
      </c>
      <c r="B251" s="70"/>
      <c r="C251" s="70"/>
      <c r="D251" s="70"/>
      <c r="E251" s="423">
        <f>Forecasts!E305</f>
        <v>-1554.9990000000003</v>
      </c>
      <c r="F251" s="423">
        <f>Forecasts!F305</f>
        <v>-1662.5126700000001</v>
      </c>
      <c r="G251" s="423">
        <f>Forecasts!G305</f>
        <v>-1970.3949351000001</v>
      </c>
      <c r="H251" s="423">
        <f>Forecasts!H305</f>
        <v>-2278.6640124029996</v>
      </c>
      <c r="I251" s="423">
        <f>Forecasts!I305</f>
        <v>-2587.3390234875897</v>
      </c>
      <c r="J251" s="424">
        <f>Forecasts!J305</f>
        <v>-688.59628922971842</v>
      </c>
      <c r="L251" s="17" t="s">
        <v>552</v>
      </c>
    </row>
    <row r="252" spans="1:12">
      <c r="A252" s="370" t="s">
        <v>249</v>
      </c>
      <c r="B252" s="70"/>
      <c r="C252" s="70"/>
      <c r="D252" s="70"/>
      <c r="E252" s="423">
        <v>0</v>
      </c>
      <c r="F252" s="423">
        <v>0</v>
      </c>
      <c r="G252" s="423">
        <v>0</v>
      </c>
      <c r="H252" s="423">
        <v>0</v>
      </c>
      <c r="I252" s="423">
        <v>0</v>
      </c>
      <c r="J252" s="424">
        <v>0</v>
      </c>
      <c r="L252" s="179" t="s">
        <v>196</v>
      </c>
    </row>
    <row r="253" spans="1:12">
      <c r="A253" s="402" t="s">
        <v>200</v>
      </c>
      <c r="B253" s="411"/>
      <c r="C253" s="411"/>
      <c r="D253" s="411"/>
      <c r="E253" s="425">
        <f t="shared" ref="E253:J253" si="12">SUM(E250:E252)</f>
        <v>2892.6113284718481</v>
      </c>
      <c r="F253" s="425">
        <f t="shared" si="12"/>
        <v>2850.1595664568586</v>
      </c>
      <c r="G253" s="425">
        <f t="shared" si="12"/>
        <v>3137.9892586615388</v>
      </c>
      <c r="H253" s="425">
        <f t="shared" si="12"/>
        <v>3488.0328388604507</v>
      </c>
      <c r="I253" s="425">
        <f t="shared" si="12"/>
        <v>3643.3803898528167</v>
      </c>
      <c r="J253" s="426">
        <f t="shared" si="12"/>
        <v>4784.0825496397792</v>
      </c>
      <c r="L253" s="17" t="s">
        <v>557</v>
      </c>
    </row>
    <row r="254" spans="1:12">
      <c r="A254" s="370"/>
      <c r="B254" s="70"/>
      <c r="C254" s="70"/>
      <c r="D254" s="70"/>
      <c r="E254" s="427"/>
      <c r="F254" s="427"/>
      <c r="G254" s="427"/>
      <c r="H254" s="427"/>
      <c r="I254" s="427"/>
      <c r="J254" s="428"/>
    </row>
    <row r="255" spans="1:12">
      <c r="A255" s="407" t="s">
        <v>62</v>
      </c>
      <c r="B255" s="213"/>
      <c r="C255" s="213"/>
      <c r="D255" s="213"/>
      <c r="E255" s="429">
        <f>1/(1+$F$59)^E243</f>
        <v>0.93414102672121346</v>
      </c>
      <c r="F255" s="429">
        <f>1/(1+$F$59)^F243</f>
        <v>0.87261945780376293</v>
      </c>
      <c r="G255" s="429">
        <f>1/(1+$F$59)^G243</f>
        <v>0.8151496362497157</v>
      </c>
      <c r="H255" s="429">
        <f>1/(1+$F$59)^H243</f>
        <v>0.7614647181377332</v>
      </c>
      <c r="I255" s="429">
        <f>1/(1+$F$59)^I243</f>
        <v>0.71131543361316152</v>
      </c>
      <c r="J255" s="430"/>
      <c r="L255" s="17" t="s">
        <v>550</v>
      </c>
    </row>
    <row r="256" spans="1:12">
      <c r="A256" s="407" t="s">
        <v>659</v>
      </c>
      <c r="B256" s="213"/>
      <c r="C256" s="213"/>
      <c r="D256" s="213"/>
      <c r="E256" s="423">
        <f>E253*E255</f>
        <v>2702.1069162841054</v>
      </c>
      <c r="F256" s="423">
        <f>F253*F255</f>
        <v>2487.104695535792</v>
      </c>
      <c r="G256" s="423">
        <f>G253*G255</f>
        <v>2557.9308027534685</v>
      </c>
      <c r="H256" s="423">
        <f>H253*H255</f>
        <v>2656.0139424980307</v>
      </c>
      <c r="I256" s="423">
        <f>I253*I255</f>
        <v>2591.5927018258458</v>
      </c>
      <c r="J256" s="424"/>
    </row>
    <row r="257" spans="1:12">
      <c r="A257" s="407" t="s">
        <v>660</v>
      </c>
      <c r="B257" s="213"/>
      <c r="C257" s="213"/>
      <c r="D257" s="213"/>
      <c r="E257" s="423">
        <f>SUM(E256:I256)</f>
        <v>12994.749058897241</v>
      </c>
      <c r="F257" s="423"/>
      <c r="G257" s="423"/>
      <c r="H257" s="423"/>
      <c r="I257" s="423"/>
      <c r="J257" s="431"/>
      <c r="L257" s="17" t="s">
        <v>510</v>
      </c>
    </row>
    <row r="258" spans="1:12">
      <c r="A258" s="370" t="s">
        <v>657</v>
      </c>
      <c r="B258" s="70"/>
      <c r="C258" s="70"/>
      <c r="D258" s="70"/>
      <c r="E258" s="432">
        <f>J253/($F$59-$F$29)*$I$255</f>
        <v>84019.977464193842</v>
      </c>
      <c r="F258" s="423"/>
      <c r="G258" s="432"/>
      <c r="H258" s="432"/>
      <c r="I258" s="432"/>
      <c r="J258" s="431"/>
      <c r="L258" s="17" t="s">
        <v>519</v>
      </c>
    </row>
    <row r="259" spans="1:12">
      <c r="A259" s="407" t="s">
        <v>669</v>
      </c>
      <c r="B259" s="70"/>
      <c r="C259" s="70"/>
      <c r="D259" s="70"/>
      <c r="E259" s="432">
        <f>E257+E258</f>
        <v>97014.726523091085</v>
      </c>
      <c r="F259" s="423"/>
      <c r="G259" s="432"/>
      <c r="H259" s="432"/>
      <c r="I259" s="432"/>
      <c r="J259" s="431"/>
      <c r="L259" s="17" t="s">
        <v>511</v>
      </c>
    </row>
    <row r="260" spans="1:12">
      <c r="A260" s="370" t="s">
        <v>512</v>
      </c>
      <c r="B260" s="70"/>
      <c r="C260" s="70"/>
      <c r="D260" s="70"/>
      <c r="E260" s="432">
        <f>-$F$39</f>
        <v>-2402</v>
      </c>
      <c r="F260" s="427"/>
      <c r="G260" s="432"/>
      <c r="H260" s="432"/>
      <c r="I260" s="432"/>
      <c r="J260" s="431"/>
      <c r="L260" s="17" t="s">
        <v>515</v>
      </c>
    </row>
    <row r="261" spans="1:12">
      <c r="A261" s="370" t="s">
        <v>513</v>
      </c>
      <c r="B261" s="70"/>
      <c r="C261" s="70"/>
      <c r="D261" s="70"/>
      <c r="E261" s="432">
        <f>-$F$45</f>
        <v>0</v>
      </c>
      <c r="F261" s="427"/>
      <c r="G261" s="427"/>
      <c r="H261" s="432"/>
      <c r="I261" s="432"/>
      <c r="J261" s="431"/>
      <c r="L261" s="17" t="s">
        <v>516</v>
      </c>
    </row>
    <row r="262" spans="1:12">
      <c r="A262" s="370" t="s">
        <v>514</v>
      </c>
      <c r="B262" s="70"/>
      <c r="C262" s="70"/>
      <c r="D262" s="70"/>
      <c r="E262" s="432">
        <v>0</v>
      </c>
      <c r="F262" s="427"/>
      <c r="G262" s="427"/>
      <c r="H262" s="432"/>
      <c r="I262" s="432"/>
      <c r="J262" s="431"/>
      <c r="L262" s="17" t="s">
        <v>517</v>
      </c>
    </row>
    <row r="263" spans="1:12">
      <c r="A263" s="407" t="s">
        <v>664</v>
      </c>
      <c r="B263" s="213"/>
      <c r="C263" s="213"/>
      <c r="D263" s="213"/>
      <c r="E263" s="423">
        <f>E259+E260+E261+E262</f>
        <v>94612.726523091085</v>
      </c>
      <c r="F263" s="427"/>
      <c r="G263" s="427"/>
      <c r="H263" s="483"/>
      <c r="I263" s="483"/>
      <c r="J263" s="484"/>
    </row>
    <row r="264" spans="1:12">
      <c r="A264" s="407" t="s">
        <v>63</v>
      </c>
      <c r="B264" s="213"/>
      <c r="C264" s="213"/>
      <c r="D264" s="213"/>
      <c r="E264" s="485">
        <f>(1+$F$59/2)</f>
        <v>1.0352510870387248</v>
      </c>
      <c r="F264" s="432"/>
      <c r="G264" s="427"/>
      <c r="H264" s="436"/>
      <c r="I264" s="436"/>
      <c r="J264" s="462"/>
      <c r="L264" s="17" t="s">
        <v>201</v>
      </c>
    </row>
    <row r="265" spans="1:12">
      <c r="A265" s="407" t="s">
        <v>665</v>
      </c>
      <c r="B265" s="213"/>
      <c r="C265" s="213"/>
      <c r="D265" s="213"/>
      <c r="E265" s="423">
        <f>E263*E264</f>
        <v>97947.927980727633</v>
      </c>
      <c r="F265" s="432"/>
      <c r="G265" s="427"/>
      <c r="H265" s="436"/>
      <c r="I265" s="427"/>
      <c r="J265" s="428"/>
    </row>
    <row r="266" spans="1:12">
      <c r="A266" s="407" t="s">
        <v>64</v>
      </c>
      <c r="B266" s="213"/>
      <c r="C266" s="213"/>
      <c r="D266" s="213"/>
      <c r="E266" s="423">
        <f>$F$25</f>
        <v>1485.1</v>
      </c>
      <c r="F266" s="432"/>
      <c r="G266" s="427"/>
      <c r="H266" s="436"/>
      <c r="I266" s="427"/>
      <c r="J266" s="428"/>
    </row>
    <row r="267" spans="1:12">
      <c r="A267" s="407" t="s">
        <v>65</v>
      </c>
      <c r="B267" s="213"/>
      <c r="C267" s="213"/>
      <c r="D267" s="213"/>
      <c r="E267" s="434">
        <f>E265/E266</f>
        <v>65.953759329828046</v>
      </c>
      <c r="F267" s="432"/>
      <c r="G267" s="427"/>
      <c r="H267" s="436"/>
      <c r="I267" s="427"/>
      <c r="J267" s="428"/>
      <c r="L267" s="17" t="s">
        <v>210</v>
      </c>
    </row>
    <row r="268" spans="1:12">
      <c r="A268" s="370"/>
      <c r="B268" s="70"/>
      <c r="C268" s="70"/>
      <c r="D268" s="70"/>
      <c r="E268" s="70"/>
      <c r="F268" s="427"/>
      <c r="G268" s="427"/>
      <c r="H268" s="436"/>
      <c r="I268" s="427"/>
      <c r="J268" s="428"/>
    </row>
    <row r="269" spans="1:12">
      <c r="A269" s="370" t="s">
        <v>49</v>
      </c>
      <c r="B269" s="70"/>
      <c r="C269" s="70"/>
      <c r="D269" s="70"/>
      <c r="E269" s="420">
        <f>$F$24</f>
        <v>56.84</v>
      </c>
      <c r="F269" s="427"/>
      <c r="G269" s="427"/>
      <c r="H269" s="436"/>
      <c r="I269" s="427"/>
      <c r="J269" s="428"/>
    </row>
    <row r="270" spans="1:12">
      <c r="A270" s="370" t="s">
        <v>66</v>
      </c>
      <c r="B270" s="70"/>
      <c r="C270" s="70"/>
      <c r="D270" s="70"/>
      <c r="E270" s="491">
        <f>E267/E269-1</f>
        <v>0.16034059341710138</v>
      </c>
      <c r="F270" s="70"/>
      <c r="G270" s="436"/>
      <c r="H270" s="436"/>
      <c r="I270" s="436"/>
      <c r="J270" s="462"/>
      <c r="L270" s="17" t="s">
        <v>67</v>
      </c>
    </row>
    <row r="271" spans="1:12" ht="13.5" thickBot="1">
      <c r="A271" s="389"/>
      <c r="B271" s="390"/>
      <c r="C271" s="390"/>
      <c r="D271" s="390"/>
      <c r="E271" s="390"/>
      <c r="F271" s="390"/>
      <c r="G271" s="390"/>
      <c r="H271" s="421"/>
      <c r="I271" s="421"/>
      <c r="J271" s="422"/>
    </row>
    <row r="272" spans="1:12" ht="13.5" thickTop="1">
      <c r="A272" s="374"/>
      <c r="B272" s="374"/>
      <c r="C272" s="374"/>
      <c r="D272" s="374"/>
      <c r="E272" s="374"/>
      <c r="F272" s="374"/>
      <c r="G272" s="374"/>
      <c r="H272" s="461"/>
      <c r="I272" s="461"/>
      <c r="J272" s="461"/>
    </row>
  </sheetData>
  <phoneticPr fontId="0" type="noConversion"/>
  <pageMargins left="0.75" right="0.75" top="1" bottom="1" header="0.5" footer="0.5"/>
  <pageSetup scale="75" orientation="portrait" horizontalDpi="300" verticalDpi="300" r:id="rId1"/>
  <headerFooter alignWithMargins="0"/>
  <rowBreaks count="7" manualBreakCount="7">
    <brk id="61" max="16383" man="1"/>
    <brk id="88" max="16383" man="1"/>
    <brk id="118" max="9" man="1"/>
    <brk id="144" max="9" man="1"/>
    <brk id="175" max="16383" man="1"/>
    <brk id="201" max="9" man="1"/>
    <brk id="237" max="9" man="1"/>
  </rowBreaks>
  <colBreaks count="2" manualBreakCount="2">
    <brk id="10" max="231" man="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Data</vt:lpstr>
      <vt:lpstr>Analysis</vt:lpstr>
      <vt:lpstr>Forecasts</vt:lpstr>
      <vt:lpstr>Forecast Development</vt:lpstr>
      <vt:lpstr>Valuation</vt:lpstr>
      <vt:lpstr>Analysis!Print_Area</vt:lpstr>
      <vt:lpstr>Data!Print_Area</vt:lpstr>
      <vt:lpstr>'Forecast Development'!Print_Area</vt:lpstr>
      <vt:lpstr>Forecasts!Print_Area</vt:lpstr>
      <vt:lpstr>Valuation!Print_Area</vt:lpstr>
    </vt:vector>
  </TitlesOfParts>
  <Company>Kelley School of Business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jwahlen</dc:creator>
  <cp:lastModifiedBy>Paul Pronobis</cp:lastModifiedBy>
  <cp:lastPrinted>2010-05-11T15:49:29Z</cp:lastPrinted>
  <dcterms:created xsi:type="dcterms:W3CDTF">2005-05-04T22:13:45Z</dcterms:created>
  <dcterms:modified xsi:type="dcterms:W3CDTF">2021-03-03T03:00:56Z</dcterms:modified>
</cp:coreProperties>
</file>